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ozalid\Documents\CPLEX_examples\current_model\current_model\"/>
    </mc:Choice>
  </mc:AlternateContent>
  <xr:revisionPtr revIDLastSave="0" documentId="13_ncr:1_{A58FB8D1-83CB-4CC5-B326-F4B39EB98243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test" sheetId="1" r:id="rId1"/>
    <sheet name="Result" sheetId="5" r:id="rId2"/>
    <sheet name="10Trips" sheetId="6" r:id="rId3"/>
    <sheet name="feasible_mat" sheetId="3" r:id="rId4"/>
    <sheet name="duration_mat" sheetId="2" r:id="rId5"/>
    <sheet name="Recharged_Feasible_mat" sheetId="4" r:id="rId6"/>
    <sheet name="Recharged_Feasible_mat1c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3" i="6" l="1"/>
  <c r="E43" i="6"/>
  <c r="F43" i="6"/>
  <c r="G43" i="6"/>
  <c r="H43" i="6"/>
  <c r="I43" i="6"/>
  <c r="J43" i="6"/>
  <c r="K43" i="6"/>
  <c r="L43" i="6"/>
  <c r="D44" i="6"/>
  <c r="E44" i="6"/>
  <c r="F44" i="6"/>
  <c r="G44" i="6"/>
  <c r="H44" i="6"/>
  <c r="I44" i="6"/>
  <c r="J44" i="6"/>
  <c r="K44" i="6"/>
  <c r="L44" i="6"/>
  <c r="D45" i="6"/>
  <c r="E45" i="6"/>
  <c r="F45" i="6"/>
  <c r="G45" i="6"/>
  <c r="H45" i="6"/>
  <c r="I45" i="6"/>
  <c r="J45" i="6"/>
  <c r="K45" i="6"/>
  <c r="L45" i="6"/>
  <c r="D46" i="6"/>
  <c r="E46" i="6"/>
  <c r="F46" i="6"/>
  <c r="G46" i="6"/>
  <c r="H46" i="6"/>
  <c r="I46" i="6"/>
  <c r="J46" i="6"/>
  <c r="K46" i="6"/>
  <c r="L46" i="6"/>
  <c r="D47" i="6"/>
  <c r="E47" i="6"/>
  <c r="F47" i="6"/>
  <c r="G47" i="6"/>
  <c r="H47" i="6"/>
  <c r="I47" i="6"/>
  <c r="J47" i="6"/>
  <c r="K47" i="6"/>
  <c r="L47" i="6"/>
  <c r="D48" i="6"/>
  <c r="E48" i="6"/>
  <c r="F48" i="6"/>
  <c r="G48" i="6"/>
  <c r="H48" i="6"/>
  <c r="I48" i="6"/>
  <c r="J48" i="6"/>
  <c r="K48" i="6"/>
  <c r="L48" i="6"/>
  <c r="D49" i="6"/>
  <c r="E49" i="6"/>
  <c r="F49" i="6"/>
  <c r="G49" i="6"/>
  <c r="H49" i="6"/>
  <c r="I49" i="6"/>
  <c r="J49" i="6"/>
  <c r="K49" i="6"/>
  <c r="L49" i="6"/>
  <c r="D50" i="6"/>
  <c r="E50" i="6"/>
  <c r="F50" i="6"/>
  <c r="G50" i="6"/>
  <c r="H50" i="6"/>
  <c r="I50" i="6"/>
  <c r="J50" i="6"/>
  <c r="K50" i="6"/>
  <c r="L50" i="6"/>
  <c r="D51" i="6"/>
  <c r="E51" i="6"/>
  <c r="F51" i="6"/>
  <c r="G51" i="6"/>
  <c r="H51" i="6"/>
  <c r="I51" i="6"/>
  <c r="J51" i="6"/>
  <c r="K51" i="6"/>
  <c r="L51" i="6"/>
  <c r="D52" i="6"/>
  <c r="E52" i="6"/>
  <c r="F52" i="6"/>
  <c r="G52" i="6"/>
  <c r="H52" i="6"/>
  <c r="I52" i="6"/>
  <c r="J52" i="6"/>
  <c r="K52" i="6"/>
  <c r="L52" i="6"/>
  <c r="C44" i="6"/>
  <c r="C45" i="6"/>
  <c r="C46" i="6"/>
  <c r="C47" i="6"/>
  <c r="C48" i="6"/>
  <c r="C49" i="6"/>
  <c r="C50" i="6"/>
  <c r="C51" i="6"/>
  <c r="C52" i="6"/>
  <c r="C43" i="6"/>
  <c r="E65" i="4"/>
  <c r="F65" i="4"/>
  <c r="G65" i="4"/>
  <c r="H65" i="4"/>
  <c r="I65" i="4"/>
  <c r="J65" i="4"/>
  <c r="K65" i="4"/>
  <c r="L65" i="4"/>
  <c r="M65" i="4"/>
  <c r="N65" i="4"/>
  <c r="O65" i="4"/>
  <c r="P65" i="4"/>
  <c r="Q65" i="4"/>
  <c r="R65" i="4"/>
  <c r="S65" i="4"/>
  <c r="T65" i="4"/>
  <c r="U65" i="4"/>
  <c r="V65" i="4"/>
  <c r="W65" i="4"/>
  <c r="X65" i="4"/>
  <c r="Y65" i="4"/>
  <c r="Z65" i="4"/>
  <c r="AA65" i="4"/>
  <c r="AB65" i="4"/>
  <c r="AC65" i="4"/>
  <c r="AD65" i="4"/>
  <c r="AE65" i="4"/>
  <c r="AF65" i="4"/>
  <c r="AG65" i="4"/>
  <c r="E66" i="4"/>
  <c r="F66" i="4"/>
  <c r="G66" i="4"/>
  <c r="H66" i="4"/>
  <c r="I66" i="4"/>
  <c r="J66" i="4"/>
  <c r="K66" i="4"/>
  <c r="L66" i="4"/>
  <c r="M66" i="4"/>
  <c r="N66" i="4"/>
  <c r="O66" i="4"/>
  <c r="P66" i="4"/>
  <c r="Q66" i="4"/>
  <c r="R66" i="4"/>
  <c r="S66" i="4"/>
  <c r="T66" i="4"/>
  <c r="U66" i="4"/>
  <c r="V66" i="4"/>
  <c r="W66" i="4"/>
  <c r="X66" i="4"/>
  <c r="Y66" i="4"/>
  <c r="Z66" i="4"/>
  <c r="AA66" i="4"/>
  <c r="AB66" i="4"/>
  <c r="AC66" i="4"/>
  <c r="AD66" i="4"/>
  <c r="AE66" i="4"/>
  <c r="AF66" i="4"/>
  <c r="AG66" i="4"/>
  <c r="E67" i="4"/>
  <c r="F67" i="4"/>
  <c r="G67" i="4"/>
  <c r="H67" i="4"/>
  <c r="I67" i="4"/>
  <c r="J67" i="4"/>
  <c r="K67" i="4"/>
  <c r="L67" i="4"/>
  <c r="M67" i="4"/>
  <c r="N67" i="4"/>
  <c r="O67" i="4"/>
  <c r="P67" i="4"/>
  <c r="Q67" i="4"/>
  <c r="R67" i="4"/>
  <c r="S67" i="4"/>
  <c r="T67" i="4"/>
  <c r="U67" i="4"/>
  <c r="V67" i="4"/>
  <c r="W67" i="4"/>
  <c r="X67" i="4"/>
  <c r="Y67" i="4"/>
  <c r="Z67" i="4"/>
  <c r="AA67" i="4"/>
  <c r="AB67" i="4"/>
  <c r="AC67" i="4"/>
  <c r="AD67" i="4"/>
  <c r="AE67" i="4"/>
  <c r="AF67" i="4"/>
  <c r="AG67" i="4"/>
  <c r="E68" i="4"/>
  <c r="F68" i="4"/>
  <c r="G68" i="4"/>
  <c r="H68" i="4"/>
  <c r="I68" i="4"/>
  <c r="J68" i="4"/>
  <c r="K68" i="4"/>
  <c r="L68" i="4"/>
  <c r="M68" i="4"/>
  <c r="N68" i="4"/>
  <c r="O68" i="4"/>
  <c r="P68" i="4"/>
  <c r="Q68" i="4"/>
  <c r="R68" i="4"/>
  <c r="S68" i="4"/>
  <c r="T68" i="4"/>
  <c r="U68" i="4"/>
  <c r="V68" i="4"/>
  <c r="W68" i="4"/>
  <c r="X68" i="4"/>
  <c r="Y68" i="4"/>
  <c r="Z68" i="4"/>
  <c r="AA68" i="4"/>
  <c r="AB68" i="4"/>
  <c r="AC68" i="4"/>
  <c r="AD68" i="4"/>
  <c r="AE68" i="4"/>
  <c r="AF68" i="4"/>
  <c r="AG68" i="4"/>
  <c r="E69" i="4"/>
  <c r="F69" i="4"/>
  <c r="G69" i="4"/>
  <c r="H69" i="4"/>
  <c r="I69" i="4"/>
  <c r="J69" i="4"/>
  <c r="K69" i="4"/>
  <c r="L69" i="4"/>
  <c r="M69" i="4"/>
  <c r="N69" i="4"/>
  <c r="O69" i="4"/>
  <c r="P69" i="4"/>
  <c r="Q69" i="4"/>
  <c r="R69" i="4"/>
  <c r="S69" i="4"/>
  <c r="T69" i="4"/>
  <c r="U69" i="4"/>
  <c r="V69" i="4"/>
  <c r="W69" i="4"/>
  <c r="X69" i="4"/>
  <c r="Y69" i="4"/>
  <c r="Z69" i="4"/>
  <c r="AA69" i="4"/>
  <c r="AB69" i="4"/>
  <c r="AC69" i="4"/>
  <c r="AD69" i="4"/>
  <c r="AE69" i="4"/>
  <c r="AF69" i="4"/>
  <c r="AG69" i="4"/>
  <c r="E70" i="4"/>
  <c r="F70" i="4"/>
  <c r="G70" i="4"/>
  <c r="H70" i="4"/>
  <c r="I70" i="4"/>
  <c r="J70" i="4"/>
  <c r="K70" i="4"/>
  <c r="L70" i="4"/>
  <c r="M70" i="4"/>
  <c r="N70" i="4"/>
  <c r="O70" i="4"/>
  <c r="P70" i="4"/>
  <c r="Q70" i="4"/>
  <c r="R70" i="4"/>
  <c r="S70" i="4"/>
  <c r="T70" i="4"/>
  <c r="U70" i="4"/>
  <c r="V70" i="4"/>
  <c r="W70" i="4"/>
  <c r="X70" i="4"/>
  <c r="Y70" i="4"/>
  <c r="Z70" i="4"/>
  <c r="AA70" i="4"/>
  <c r="AB70" i="4"/>
  <c r="AC70" i="4"/>
  <c r="AD70" i="4"/>
  <c r="AE70" i="4"/>
  <c r="AF70" i="4"/>
  <c r="AG70" i="4"/>
  <c r="E71" i="4"/>
  <c r="F71" i="4"/>
  <c r="G71" i="4"/>
  <c r="H71" i="4"/>
  <c r="I71" i="4"/>
  <c r="J71" i="4"/>
  <c r="K71" i="4"/>
  <c r="L71" i="4"/>
  <c r="M71" i="4"/>
  <c r="N71" i="4"/>
  <c r="O71" i="4"/>
  <c r="P71" i="4"/>
  <c r="Q71" i="4"/>
  <c r="R71" i="4"/>
  <c r="S71" i="4"/>
  <c r="T71" i="4"/>
  <c r="U71" i="4"/>
  <c r="V71" i="4"/>
  <c r="W71" i="4"/>
  <c r="X71" i="4"/>
  <c r="Y71" i="4"/>
  <c r="Z71" i="4"/>
  <c r="AA71" i="4"/>
  <c r="AB71" i="4"/>
  <c r="AC71" i="4"/>
  <c r="AD71" i="4"/>
  <c r="AE71" i="4"/>
  <c r="AF71" i="4"/>
  <c r="AG71" i="4"/>
  <c r="E72" i="4"/>
  <c r="F72" i="4"/>
  <c r="G72" i="4"/>
  <c r="H72" i="4"/>
  <c r="I72" i="4"/>
  <c r="J72" i="4"/>
  <c r="K72" i="4"/>
  <c r="L72" i="4"/>
  <c r="M72" i="4"/>
  <c r="N72" i="4"/>
  <c r="O72" i="4"/>
  <c r="P72" i="4"/>
  <c r="Q72" i="4"/>
  <c r="R72" i="4"/>
  <c r="S72" i="4"/>
  <c r="T72" i="4"/>
  <c r="U72" i="4"/>
  <c r="V72" i="4"/>
  <c r="W72" i="4"/>
  <c r="X72" i="4"/>
  <c r="Y72" i="4"/>
  <c r="Z72" i="4"/>
  <c r="AA72" i="4"/>
  <c r="AB72" i="4"/>
  <c r="AC72" i="4"/>
  <c r="AD72" i="4"/>
  <c r="AE72" i="4"/>
  <c r="AF72" i="4"/>
  <c r="AG72" i="4"/>
  <c r="E73" i="4"/>
  <c r="F73" i="4"/>
  <c r="G73" i="4"/>
  <c r="H73" i="4"/>
  <c r="I73" i="4"/>
  <c r="J73" i="4"/>
  <c r="K73" i="4"/>
  <c r="L73" i="4"/>
  <c r="M73" i="4"/>
  <c r="N73" i="4"/>
  <c r="O73" i="4"/>
  <c r="P73" i="4"/>
  <c r="Q73" i="4"/>
  <c r="R73" i="4"/>
  <c r="S73" i="4"/>
  <c r="T73" i="4"/>
  <c r="U73" i="4"/>
  <c r="V73" i="4"/>
  <c r="W73" i="4"/>
  <c r="X73" i="4"/>
  <c r="Y73" i="4"/>
  <c r="Z73" i="4"/>
  <c r="AA73" i="4"/>
  <c r="AB73" i="4"/>
  <c r="AC73" i="4"/>
  <c r="AD73" i="4"/>
  <c r="AE73" i="4"/>
  <c r="AF73" i="4"/>
  <c r="AG73" i="4"/>
  <c r="E74" i="4"/>
  <c r="F74" i="4"/>
  <c r="G74" i="4"/>
  <c r="H74" i="4"/>
  <c r="I74" i="4"/>
  <c r="J74" i="4"/>
  <c r="K74" i="4"/>
  <c r="L74" i="4"/>
  <c r="M74" i="4"/>
  <c r="N74" i="4"/>
  <c r="O74" i="4"/>
  <c r="P74" i="4"/>
  <c r="Q74" i="4"/>
  <c r="R74" i="4"/>
  <c r="S74" i="4"/>
  <c r="T74" i="4"/>
  <c r="U74" i="4"/>
  <c r="V74" i="4"/>
  <c r="W74" i="4"/>
  <c r="X74" i="4"/>
  <c r="Y74" i="4"/>
  <c r="Z74" i="4"/>
  <c r="AA74" i="4"/>
  <c r="AB74" i="4"/>
  <c r="AC74" i="4"/>
  <c r="AD74" i="4"/>
  <c r="AE74" i="4"/>
  <c r="AF74" i="4"/>
  <c r="AG74" i="4"/>
  <c r="E75" i="4"/>
  <c r="F75" i="4"/>
  <c r="G75" i="4"/>
  <c r="H75" i="4"/>
  <c r="I75" i="4"/>
  <c r="J75" i="4"/>
  <c r="K75" i="4"/>
  <c r="L75" i="4"/>
  <c r="M75" i="4"/>
  <c r="N75" i="4"/>
  <c r="O75" i="4"/>
  <c r="P75" i="4"/>
  <c r="Q75" i="4"/>
  <c r="R75" i="4"/>
  <c r="S75" i="4"/>
  <c r="T75" i="4"/>
  <c r="U75" i="4"/>
  <c r="V75" i="4"/>
  <c r="W75" i="4"/>
  <c r="X75" i="4"/>
  <c r="Y75" i="4"/>
  <c r="Z75" i="4"/>
  <c r="AA75" i="4"/>
  <c r="AB75" i="4"/>
  <c r="AC75" i="4"/>
  <c r="AD75" i="4"/>
  <c r="AE75" i="4"/>
  <c r="AF75" i="4"/>
  <c r="AG75" i="4"/>
  <c r="E76" i="4"/>
  <c r="F76" i="4"/>
  <c r="G76" i="4"/>
  <c r="H76" i="4"/>
  <c r="I76" i="4"/>
  <c r="J76" i="4"/>
  <c r="K76" i="4"/>
  <c r="L76" i="4"/>
  <c r="M76" i="4"/>
  <c r="N76" i="4"/>
  <c r="O76" i="4"/>
  <c r="P76" i="4"/>
  <c r="Q76" i="4"/>
  <c r="R76" i="4"/>
  <c r="S76" i="4"/>
  <c r="T76" i="4"/>
  <c r="U76" i="4"/>
  <c r="V76" i="4"/>
  <c r="W76" i="4"/>
  <c r="X76" i="4"/>
  <c r="Y76" i="4"/>
  <c r="Z76" i="4"/>
  <c r="AA76" i="4"/>
  <c r="AB76" i="4"/>
  <c r="AC76" i="4"/>
  <c r="AD76" i="4"/>
  <c r="AE76" i="4"/>
  <c r="AF76" i="4"/>
  <c r="AG76" i="4"/>
  <c r="E77" i="4"/>
  <c r="F77" i="4"/>
  <c r="G77" i="4"/>
  <c r="H77" i="4"/>
  <c r="I77" i="4"/>
  <c r="J77" i="4"/>
  <c r="K77" i="4"/>
  <c r="L77" i="4"/>
  <c r="M77" i="4"/>
  <c r="N77" i="4"/>
  <c r="O77" i="4"/>
  <c r="P77" i="4"/>
  <c r="Q77" i="4"/>
  <c r="R77" i="4"/>
  <c r="S77" i="4"/>
  <c r="T77" i="4"/>
  <c r="U77" i="4"/>
  <c r="V77" i="4"/>
  <c r="W77" i="4"/>
  <c r="X77" i="4"/>
  <c r="Y77" i="4"/>
  <c r="Z77" i="4"/>
  <c r="AA77" i="4"/>
  <c r="AB77" i="4"/>
  <c r="AC77" i="4"/>
  <c r="AD77" i="4"/>
  <c r="AE77" i="4"/>
  <c r="AF77" i="4"/>
  <c r="AG77" i="4"/>
  <c r="E78" i="4"/>
  <c r="F78" i="4"/>
  <c r="G78" i="4"/>
  <c r="H78" i="4"/>
  <c r="I78" i="4"/>
  <c r="J78" i="4"/>
  <c r="K78" i="4"/>
  <c r="L78" i="4"/>
  <c r="M78" i="4"/>
  <c r="N78" i="4"/>
  <c r="O78" i="4"/>
  <c r="P78" i="4"/>
  <c r="Q78" i="4"/>
  <c r="R78" i="4"/>
  <c r="S78" i="4"/>
  <c r="T78" i="4"/>
  <c r="U78" i="4"/>
  <c r="V78" i="4"/>
  <c r="W78" i="4"/>
  <c r="X78" i="4"/>
  <c r="Y78" i="4"/>
  <c r="Z78" i="4"/>
  <c r="AA78" i="4"/>
  <c r="AB78" i="4"/>
  <c r="AC78" i="4"/>
  <c r="AD78" i="4"/>
  <c r="AE78" i="4"/>
  <c r="AF78" i="4"/>
  <c r="AG78" i="4"/>
  <c r="E79" i="4"/>
  <c r="F79" i="4"/>
  <c r="G79" i="4"/>
  <c r="H79" i="4"/>
  <c r="I79" i="4"/>
  <c r="J79" i="4"/>
  <c r="K79" i="4"/>
  <c r="L79" i="4"/>
  <c r="M79" i="4"/>
  <c r="N79" i="4"/>
  <c r="O79" i="4"/>
  <c r="P79" i="4"/>
  <c r="Q79" i="4"/>
  <c r="R79" i="4"/>
  <c r="S79" i="4"/>
  <c r="T79" i="4"/>
  <c r="U79" i="4"/>
  <c r="V79" i="4"/>
  <c r="W79" i="4"/>
  <c r="X79" i="4"/>
  <c r="Y79" i="4"/>
  <c r="Z79" i="4"/>
  <c r="AA79" i="4"/>
  <c r="AB79" i="4"/>
  <c r="AC79" i="4"/>
  <c r="AD79" i="4"/>
  <c r="AE79" i="4"/>
  <c r="AF79" i="4"/>
  <c r="AG79" i="4"/>
  <c r="E80" i="4"/>
  <c r="F80" i="4"/>
  <c r="G80" i="4"/>
  <c r="H80" i="4"/>
  <c r="I80" i="4"/>
  <c r="J80" i="4"/>
  <c r="K80" i="4"/>
  <c r="L80" i="4"/>
  <c r="M80" i="4"/>
  <c r="N80" i="4"/>
  <c r="O80" i="4"/>
  <c r="P80" i="4"/>
  <c r="Q80" i="4"/>
  <c r="R80" i="4"/>
  <c r="S80" i="4"/>
  <c r="T80" i="4"/>
  <c r="U80" i="4"/>
  <c r="V80" i="4"/>
  <c r="W80" i="4"/>
  <c r="X80" i="4"/>
  <c r="Y80" i="4"/>
  <c r="Z80" i="4"/>
  <c r="AA80" i="4"/>
  <c r="AB80" i="4"/>
  <c r="AC80" i="4"/>
  <c r="AD80" i="4"/>
  <c r="AE80" i="4"/>
  <c r="AF80" i="4"/>
  <c r="AG80" i="4"/>
  <c r="E81" i="4"/>
  <c r="F81" i="4"/>
  <c r="G81" i="4"/>
  <c r="H81" i="4"/>
  <c r="I81" i="4"/>
  <c r="J81" i="4"/>
  <c r="K81" i="4"/>
  <c r="L81" i="4"/>
  <c r="M81" i="4"/>
  <c r="N81" i="4"/>
  <c r="O81" i="4"/>
  <c r="P81" i="4"/>
  <c r="Q81" i="4"/>
  <c r="R81" i="4"/>
  <c r="S81" i="4"/>
  <c r="T81" i="4"/>
  <c r="U81" i="4"/>
  <c r="V81" i="4"/>
  <c r="W81" i="4"/>
  <c r="X81" i="4"/>
  <c r="Y81" i="4"/>
  <c r="Z81" i="4"/>
  <c r="AA81" i="4"/>
  <c r="AB81" i="4"/>
  <c r="AC81" i="4"/>
  <c r="AD81" i="4"/>
  <c r="AE81" i="4"/>
  <c r="AF81" i="4"/>
  <c r="AG81" i="4"/>
  <c r="E82" i="4"/>
  <c r="F82" i="4"/>
  <c r="G82" i="4"/>
  <c r="H82" i="4"/>
  <c r="I82" i="4"/>
  <c r="J82" i="4"/>
  <c r="K82" i="4"/>
  <c r="L82" i="4"/>
  <c r="M82" i="4"/>
  <c r="N82" i="4"/>
  <c r="O82" i="4"/>
  <c r="P82" i="4"/>
  <c r="Q82" i="4"/>
  <c r="R82" i="4"/>
  <c r="S82" i="4"/>
  <c r="T82" i="4"/>
  <c r="U82" i="4"/>
  <c r="V82" i="4"/>
  <c r="W82" i="4"/>
  <c r="X82" i="4"/>
  <c r="Y82" i="4"/>
  <c r="Z82" i="4"/>
  <c r="AA82" i="4"/>
  <c r="AB82" i="4"/>
  <c r="AC82" i="4"/>
  <c r="AD82" i="4"/>
  <c r="AE82" i="4"/>
  <c r="AF82" i="4"/>
  <c r="AG82" i="4"/>
  <c r="E83" i="4"/>
  <c r="F83" i="4"/>
  <c r="G83" i="4"/>
  <c r="H83" i="4"/>
  <c r="I83" i="4"/>
  <c r="J83" i="4"/>
  <c r="K83" i="4"/>
  <c r="L83" i="4"/>
  <c r="M83" i="4"/>
  <c r="N83" i="4"/>
  <c r="O83" i="4"/>
  <c r="P83" i="4"/>
  <c r="Q83" i="4"/>
  <c r="R83" i="4"/>
  <c r="S83" i="4"/>
  <c r="T83" i="4"/>
  <c r="U83" i="4"/>
  <c r="V83" i="4"/>
  <c r="W83" i="4"/>
  <c r="X83" i="4"/>
  <c r="Y83" i="4"/>
  <c r="Z83" i="4"/>
  <c r="AA83" i="4"/>
  <c r="AB83" i="4"/>
  <c r="AC83" i="4"/>
  <c r="AD83" i="4"/>
  <c r="AE83" i="4"/>
  <c r="AF83" i="4"/>
  <c r="AG83" i="4"/>
  <c r="E84" i="4"/>
  <c r="F84" i="4"/>
  <c r="G84" i="4"/>
  <c r="H84" i="4"/>
  <c r="I84" i="4"/>
  <c r="J84" i="4"/>
  <c r="K84" i="4"/>
  <c r="L84" i="4"/>
  <c r="M84" i="4"/>
  <c r="N84" i="4"/>
  <c r="O84" i="4"/>
  <c r="P84" i="4"/>
  <c r="Q84" i="4"/>
  <c r="R84" i="4"/>
  <c r="S84" i="4"/>
  <c r="T84" i="4"/>
  <c r="U84" i="4"/>
  <c r="V84" i="4"/>
  <c r="W84" i="4"/>
  <c r="X84" i="4"/>
  <c r="Y84" i="4"/>
  <c r="Z84" i="4"/>
  <c r="AA84" i="4"/>
  <c r="AB84" i="4"/>
  <c r="AC84" i="4"/>
  <c r="AD84" i="4"/>
  <c r="AE84" i="4"/>
  <c r="AF84" i="4"/>
  <c r="AG84" i="4"/>
  <c r="E85" i="4"/>
  <c r="F85" i="4"/>
  <c r="G85" i="4"/>
  <c r="H85" i="4"/>
  <c r="I85" i="4"/>
  <c r="J85" i="4"/>
  <c r="K85" i="4"/>
  <c r="L85" i="4"/>
  <c r="M85" i="4"/>
  <c r="N85" i="4"/>
  <c r="O85" i="4"/>
  <c r="P85" i="4"/>
  <c r="Q85" i="4"/>
  <c r="R85" i="4"/>
  <c r="S85" i="4"/>
  <c r="T85" i="4"/>
  <c r="U85" i="4"/>
  <c r="V85" i="4"/>
  <c r="W85" i="4"/>
  <c r="X85" i="4"/>
  <c r="Y85" i="4"/>
  <c r="Z85" i="4"/>
  <c r="AA85" i="4"/>
  <c r="AB85" i="4"/>
  <c r="AC85" i="4"/>
  <c r="AD85" i="4"/>
  <c r="AE85" i="4"/>
  <c r="AF85" i="4"/>
  <c r="AG85" i="4"/>
  <c r="E86" i="4"/>
  <c r="F86" i="4"/>
  <c r="G86" i="4"/>
  <c r="H86" i="4"/>
  <c r="I86" i="4"/>
  <c r="J86" i="4"/>
  <c r="K86" i="4"/>
  <c r="L86" i="4"/>
  <c r="M86" i="4"/>
  <c r="N86" i="4"/>
  <c r="O86" i="4"/>
  <c r="P86" i="4"/>
  <c r="Q86" i="4"/>
  <c r="R86" i="4"/>
  <c r="S86" i="4"/>
  <c r="T86" i="4"/>
  <c r="U86" i="4"/>
  <c r="V86" i="4"/>
  <c r="W86" i="4"/>
  <c r="X86" i="4"/>
  <c r="Y86" i="4"/>
  <c r="Z86" i="4"/>
  <c r="AA86" i="4"/>
  <c r="AB86" i="4"/>
  <c r="AC86" i="4"/>
  <c r="AD86" i="4"/>
  <c r="AE86" i="4"/>
  <c r="AF86" i="4"/>
  <c r="AG86" i="4"/>
  <c r="E87" i="4"/>
  <c r="F87" i="4"/>
  <c r="G87" i="4"/>
  <c r="H87" i="4"/>
  <c r="I87" i="4"/>
  <c r="J87" i="4"/>
  <c r="K87" i="4"/>
  <c r="L87" i="4"/>
  <c r="M87" i="4"/>
  <c r="N87" i="4"/>
  <c r="O87" i="4"/>
  <c r="P87" i="4"/>
  <c r="Q87" i="4"/>
  <c r="R87" i="4"/>
  <c r="S87" i="4"/>
  <c r="T87" i="4"/>
  <c r="U87" i="4"/>
  <c r="V87" i="4"/>
  <c r="W87" i="4"/>
  <c r="X87" i="4"/>
  <c r="Y87" i="4"/>
  <c r="Z87" i="4"/>
  <c r="AA87" i="4"/>
  <c r="AB87" i="4"/>
  <c r="AC87" i="4"/>
  <c r="AD87" i="4"/>
  <c r="AE87" i="4"/>
  <c r="AF87" i="4"/>
  <c r="AG87" i="4"/>
  <c r="E88" i="4"/>
  <c r="F88" i="4"/>
  <c r="G88" i="4"/>
  <c r="H88" i="4"/>
  <c r="I88" i="4"/>
  <c r="J88" i="4"/>
  <c r="K88" i="4"/>
  <c r="L88" i="4"/>
  <c r="M88" i="4"/>
  <c r="N88" i="4"/>
  <c r="O88" i="4"/>
  <c r="P88" i="4"/>
  <c r="Q88" i="4"/>
  <c r="R88" i="4"/>
  <c r="S88" i="4"/>
  <c r="T88" i="4"/>
  <c r="U88" i="4"/>
  <c r="V88" i="4"/>
  <c r="W88" i="4"/>
  <c r="X88" i="4"/>
  <c r="Y88" i="4"/>
  <c r="Z88" i="4"/>
  <c r="AA88" i="4"/>
  <c r="AB88" i="4"/>
  <c r="AC88" i="4"/>
  <c r="AD88" i="4"/>
  <c r="AE88" i="4"/>
  <c r="AF88" i="4"/>
  <c r="AG88" i="4"/>
  <c r="E89" i="4"/>
  <c r="F89" i="4"/>
  <c r="G89" i="4"/>
  <c r="H89" i="4"/>
  <c r="I89" i="4"/>
  <c r="J89" i="4"/>
  <c r="K89" i="4"/>
  <c r="L89" i="4"/>
  <c r="M89" i="4"/>
  <c r="N89" i="4"/>
  <c r="O89" i="4"/>
  <c r="P89" i="4"/>
  <c r="Q89" i="4"/>
  <c r="R89" i="4"/>
  <c r="S89" i="4"/>
  <c r="T89" i="4"/>
  <c r="U89" i="4"/>
  <c r="V89" i="4"/>
  <c r="W89" i="4"/>
  <c r="X89" i="4"/>
  <c r="Y89" i="4"/>
  <c r="Z89" i="4"/>
  <c r="AA89" i="4"/>
  <c r="AB89" i="4"/>
  <c r="AC89" i="4"/>
  <c r="AD89" i="4"/>
  <c r="AE89" i="4"/>
  <c r="AF89" i="4"/>
  <c r="AG89" i="4"/>
  <c r="E90" i="4"/>
  <c r="F90" i="4"/>
  <c r="G90" i="4"/>
  <c r="H90" i="4"/>
  <c r="I90" i="4"/>
  <c r="J90" i="4"/>
  <c r="K90" i="4"/>
  <c r="L90" i="4"/>
  <c r="M90" i="4"/>
  <c r="N90" i="4"/>
  <c r="O90" i="4"/>
  <c r="P90" i="4"/>
  <c r="Q90" i="4"/>
  <c r="R90" i="4"/>
  <c r="S90" i="4"/>
  <c r="T90" i="4"/>
  <c r="U90" i="4"/>
  <c r="V90" i="4"/>
  <c r="W90" i="4"/>
  <c r="X90" i="4"/>
  <c r="Y90" i="4"/>
  <c r="Z90" i="4"/>
  <c r="AA90" i="4"/>
  <c r="AB90" i="4"/>
  <c r="AC90" i="4"/>
  <c r="AD90" i="4"/>
  <c r="AE90" i="4"/>
  <c r="AF90" i="4"/>
  <c r="AG90" i="4"/>
  <c r="E91" i="4"/>
  <c r="F91" i="4"/>
  <c r="G91" i="4"/>
  <c r="H91" i="4"/>
  <c r="I91" i="4"/>
  <c r="J91" i="4"/>
  <c r="K91" i="4"/>
  <c r="L91" i="4"/>
  <c r="M91" i="4"/>
  <c r="N91" i="4"/>
  <c r="O91" i="4"/>
  <c r="P91" i="4"/>
  <c r="Q91" i="4"/>
  <c r="R91" i="4"/>
  <c r="S91" i="4"/>
  <c r="T91" i="4"/>
  <c r="U91" i="4"/>
  <c r="V91" i="4"/>
  <c r="W91" i="4"/>
  <c r="X91" i="4"/>
  <c r="Y91" i="4"/>
  <c r="Z91" i="4"/>
  <c r="AA91" i="4"/>
  <c r="AB91" i="4"/>
  <c r="AC91" i="4"/>
  <c r="AD91" i="4"/>
  <c r="AE91" i="4"/>
  <c r="AF91" i="4"/>
  <c r="AG91" i="4"/>
  <c r="E92" i="4"/>
  <c r="F92" i="4"/>
  <c r="G92" i="4"/>
  <c r="H92" i="4"/>
  <c r="I92" i="4"/>
  <c r="J92" i="4"/>
  <c r="K92" i="4"/>
  <c r="L92" i="4"/>
  <c r="M92" i="4"/>
  <c r="N92" i="4"/>
  <c r="O92" i="4"/>
  <c r="P92" i="4"/>
  <c r="Q92" i="4"/>
  <c r="R92" i="4"/>
  <c r="S92" i="4"/>
  <c r="T92" i="4"/>
  <c r="U92" i="4"/>
  <c r="V92" i="4"/>
  <c r="W92" i="4"/>
  <c r="X92" i="4"/>
  <c r="Y92" i="4"/>
  <c r="Z92" i="4"/>
  <c r="AA92" i="4"/>
  <c r="AB92" i="4"/>
  <c r="AC92" i="4"/>
  <c r="AD92" i="4"/>
  <c r="AE92" i="4"/>
  <c r="AF92" i="4"/>
  <c r="AG92" i="4"/>
  <c r="E93" i="4"/>
  <c r="F93" i="4"/>
  <c r="G93" i="4"/>
  <c r="H93" i="4"/>
  <c r="I93" i="4"/>
  <c r="J93" i="4"/>
  <c r="K93" i="4"/>
  <c r="L93" i="4"/>
  <c r="M93" i="4"/>
  <c r="N93" i="4"/>
  <c r="O93" i="4"/>
  <c r="P93" i="4"/>
  <c r="Q93" i="4"/>
  <c r="R93" i="4"/>
  <c r="S93" i="4"/>
  <c r="T93" i="4"/>
  <c r="U93" i="4"/>
  <c r="V93" i="4"/>
  <c r="W93" i="4"/>
  <c r="X93" i="4"/>
  <c r="Y93" i="4"/>
  <c r="Z93" i="4"/>
  <c r="AA93" i="4"/>
  <c r="AB93" i="4"/>
  <c r="AC93" i="4"/>
  <c r="AD93" i="4"/>
  <c r="AE93" i="4"/>
  <c r="AF93" i="4"/>
  <c r="AG93" i="4"/>
  <c r="E94" i="4"/>
  <c r="F94" i="4"/>
  <c r="G94" i="4"/>
  <c r="H94" i="4"/>
  <c r="I94" i="4"/>
  <c r="J94" i="4"/>
  <c r="K94" i="4"/>
  <c r="L94" i="4"/>
  <c r="M94" i="4"/>
  <c r="N94" i="4"/>
  <c r="O94" i="4"/>
  <c r="P94" i="4"/>
  <c r="Q94" i="4"/>
  <c r="R94" i="4"/>
  <c r="S94" i="4"/>
  <c r="T94" i="4"/>
  <c r="U94" i="4"/>
  <c r="V94" i="4"/>
  <c r="W94" i="4"/>
  <c r="X94" i="4"/>
  <c r="Y94" i="4"/>
  <c r="Z94" i="4"/>
  <c r="AA94" i="4"/>
  <c r="AB94" i="4"/>
  <c r="AC94" i="4"/>
  <c r="AD94" i="4"/>
  <c r="AE94" i="4"/>
  <c r="AF94" i="4"/>
  <c r="AG94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65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AG34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AG35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AG36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AG37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AG38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AG39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AG40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AG41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AG42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AG43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AG44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AG45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AG46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AG47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AG48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AG49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AG50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AG51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AG52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AG53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AG54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AG55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AG56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AG57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AG58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AG59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AG60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AG61" i="4"/>
  <c r="E62" i="4"/>
  <c r="F62" i="4"/>
  <c r="G62" i="4"/>
  <c r="H62" i="4"/>
  <c r="I62" i="4"/>
  <c r="J62" i="4"/>
  <c r="K62" i="4"/>
  <c r="L62" i="4"/>
  <c r="M62" i="4"/>
  <c r="N62" i="4"/>
  <c r="O62" i="4"/>
  <c r="P62" i="4"/>
  <c r="Q62" i="4"/>
  <c r="R62" i="4"/>
  <c r="S62" i="4"/>
  <c r="T62" i="4"/>
  <c r="U62" i="4"/>
  <c r="V62" i="4"/>
  <c r="W62" i="4"/>
  <c r="X62" i="4"/>
  <c r="Y62" i="4"/>
  <c r="Z62" i="4"/>
  <c r="AA62" i="4"/>
  <c r="AB62" i="4"/>
  <c r="AC62" i="4"/>
  <c r="AD62" i="4"/>
  <c r="AE62" i="4"/>
  <c r="AF62" i="4"/>
  <c r="AG62" i="4"/>
  <c r="E63" i="4"/>
  <c r="F63" i="4"/>
  <c r="G63" i="4"/>
  <c r="H63" i="4"/>
  <c r="I63" i="4"/>
  <c r="J63" i="4"/>
  <c r="K63" i="4"/>
  <c r="L63" i="4"/>
  <c r="M63" i="4"/>
  <c r="N63" i="4"/>
  <c r="O63" i="4"/>
  <c r="P63" i="4"/>
  <c r="Q63" i="4"/>
  <c r="R63" i="4"/>
  <c r="S63" i="4"/>
  <c r="T63" i="4"/>
  <c r="U63" i="4"/>
  <c r="V63" i="4"/>
  <c r="W63" i="4"/>
  <c r="X63" i="4"/>
  <c r="Y63" i="4"/>
  <c r="Z63" i="4"/>
  <c r="AA63" i="4"/>
  <c r="AB63" i="4"/>
  <c r="AC63" i="4"/>
  <c r="AD63" i="4"/>
  <c r="AE63" i="4"/>
  <c r="AF63" i="4"/>
  <c r="AG63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34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AG3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AG4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AG5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AG8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AG9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AG11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AG12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AG13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AG14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AG15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AG16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AG17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AG20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AG21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AG22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AG23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AG24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AG25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AG26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AG27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AG28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AG29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AG30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AG31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AG32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" i="4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" i="7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" i="3"/>
  <c r="T45" i="6"/>
  <c r="S45" i="6"/>
  <c r="D32" i="6"/>
  <c r="E32" i="6"/>
  <c r="F32" i="6"/>
  <c r="G32" i="6"/>
  <c r="H32" i="6"/>
  <c r="I32" i="6"/>
  <c r="J32" i="6"/>
  <c r="K32" i="6"/>
  <c r="L32" i="6"/>
  <c r="D33" i="6"/>
  <c r="E33" i="6"/>
  <c r="F33" i="6"/>
  <c r="G33" i="6"/>
  <c r="H33" i="6"/>
  <c r="I33" i="6"/>
  <c r="J33" i="6"/>
  <c r="K33" i="6"/>
  <c r="L33" i="6"/>
  <c r="D34" i="6"/>
  <c r="E34" i="6"/>
  <c r="F34" i="6"/>
  <c r="G34" i="6"/>
  <c r="H34" i="6"/>
  <c r="I34" i="6"/>
  <c r="J34" i="6"/>
  <c r="K34" i="6"/>
  <c r="L34" i="6"/>
  <c r="D35" i="6"/>
  <c r="E35" i="6"/>
  <c r="F35" i="6"/>
  <c r="G35" i="6"/>
  <c r="H35" i="6"/>
  <c r="I35" i="6"/>
  <c r="J35" i="6"/>
  <c r="K35" i="6"/>
  <c r="L35" i="6"/>
  <c r="D36" i="6"/>
  <c r="E36" i="6"/>
  <c r="F36" i="6"/>
  <c r="G36" i="6"/>
  <c r="H36" i="6"/>
  <c r="I36" i="6"/>
  <c r="J36" i="6"/>
  <c r="K36" i="6"/>
  <c r="L36" i="6"/>
  <c r="D37" i="6"/>
  <c r="E37" i="6"/>
  <c r="F37" i="6"/>
  <c r="G37" i="6"/>
  <c r="H37" i="6"/>
  <c r="I37" i="6"/>
  <c r="J37" i="6"/>
  <c r="K37" i="6"/>
  <c r="L37" i="6"/>
  <c r="D38" i="6"/>
  <c r="E38" i="6"/>
  <c r="F38" i="6"/>
  <c r="G38" i="6"/>
  <c r="H38" i="6"/>
  <c r="I38" i="6"/>
  <c r="J38" i="6"/>
  <c r="K38" i="6"/>
  <c r="L38" i="6"/>
  <c r="D39" i="6"/>
  <c r="E39" i="6"/>
  <c r="F39" i="6"/>
  <c r="G39" i="6"/>
  <c r="H39" i="6"/>
  <c r="I39" i="6"/>
  <c r="J39" i="6"/>
  <c r="K39" i="6"/>
  <c r="L39" i="6"/>
  <c r="D40" i="6"/>
  <c r="E40" i="6"/>
  <c r="F40" i="6"/>
  <c r="G40" i="6"/>
  <c r="H40" i="6"/>
  <c r="I40" i="6"/>
  <c r="J40" i="6"/>
  <c r="K40" i="6"/>
  <c r="L40" i="6"/>
  <c r="D41" i="6"/>
  <c r="E41" i="6"/>
  <c r="F41" i="6"/>
  <c r="G41" i="6"/>
  <c r="H41" i="6"/>
  <c r="I41" i="6"/>
  <c r="J41" i="6"/>
  <c r="K41" i="6"/>
  <c r="L41" i="6"/>
  <c r="C33" i="6"/>
  <c r="C34" i="6"/>
  <c r="C35" i="6"/>
  <c r="C36" i="6"/>
  <c r="C37" i="6"/>
  <c r="C38" i="6"/>
  <c r="C39" i="6"/>
  <c r="C40" i="6"/>
  <c r="C41" i="6"/>
  <c r="C32" i="6"/>
  <c r="C18" i="6"/>
  <c r="D18" i="6"/>
  <c r="E18" i="6"/>
  <c r="F18" i="6"/>
  <c r="G18" i="6"/>
  <c r="H18" i="6"/>
  <c r="I18" i="6"/>
  <c r="J18" i="6"/>
  <c r="K18" i="6"/>
  <c r="L18" i="6"/>
  <c r="D19" i="6"/>
  <c r="E19" i="6"/>
  <c r="F19" i="6"/>
  <c r="G19" i="6"/>
  <c r="H19" i="6"/>
  <c r="I19" i="6"/>
  <c r="J19" i="6"/>
  <c r="K19" i="6"/>
  <c r="L19" i="6"/>
  <c r="D20" i="6"/>
  <c r="E20" i="6"/>
  <c r="F20" i="6"/>
  <c r="G20" i="6"/>
  <c r="H20" i="6"/>
  <c r="I20" i="6"/>
  <c r="J20" i="6"/>
  <c r="K20" i="6"/>
  <c r="L20" i="6"/>
  <c r="D21" i="6"/>
  <c r="E21" i="6"/>
  <c r="F21" i="6"/>
  <c r="G21" i="6"/>
  <c r="H21" i="6"/>
  <c r="I21" i="6"/>
  <c r="J21" i="6"/>
  <c r="K21" i="6"/>
  <c r="L21" i="6"/>
  <c r="D22" i="6"/>
  <c r="E22" i="6"/>
  <c r="F22" i="6"/>
  <c r="G22" i="6"/>
  <c r="H22" i="6"/>
  <c r="I22" i="6"/>
  <c r="J22" i="6"/>
  <c r="K22" i="6"/>
  <c r="L22" i="6"/>
  <c r="D23" i="6"/>
  <c r="E23" i="6"/>
  <c r="F23" i="6"/>
  <c r="G23" i="6"/>
  <c r="H23" i="6"/>
  <c r="I23" i="6"/>
  <c r="J23" i="6"/>
  <c r="K23" i="6"/>
  <c r="L23" i="6"/>
  <c r="D24" i="6"/>
  <c r="E24" i="6"/>
  <c r="F24" i="6"/>
  <c r="G24" i="6"/>
  <c r="H24" i="6"/>
  <c r="I24" i="6"/>
  <c r="J24" i="6"/>
  <c r="K24" i="6"/>
  <c r="L24" i="6"/>
  <c r="D25" i="6"/>
  <c r="E25" i="6"/>
  <c r="F25" i="6"/>
  <c r="G25" i="6"/>
  <c r="H25" i="6"/>
  <c r="I25" i="6"/>
  <c r="J25" i="6"/>
  <c r="K25" i="6"/>
  <c r="L25" i="6"/>
  <c r="D26" i="6"/>
  <c r="E26" i="6"/>
  <c r="F26" i="6"/>
  <c r="G26" i="6"/>
  <c r="H26" i="6"/>
  <c r="I26" i="6"/>
  <c r="J26" i="6"/>
  <c r="K26" i="6"/>
  <c r="L26" i="6"/>
  <c r="D27" i="6"/>
  <c r="E27" i="6"/>
  <c r="F27" i="6"/>
  <c r="G27" i="6"/>
  <c r="H27" i="6"/>
  <c r="I27" i="6"/>
  <c r="J27" i="6"/>
  <c r="K27" i="6"/>
  <c r="L27" i="6"/>
  <c r="C19" i="6"/>
  <c r="C20" i="6"/>
  <c r="C21" i="6"/>
  <c r="C22" i="6"/>
  <c r="C23" i="6"/>
  <c r="C24" i="6"/>
  <c r="C25" i="6"/>
  <c r="C26" i="6"/>
  <c r="C27" i="6"/>
  <c r="P50" i="6" l="1"/>
  <c r="T19" i="6"/>
  <c r="V20" i="6"/>
  <c r="W20" i="6"/>
  <c r="Y21" i="6"/>
  <c r="Z21" i="6"/>
  <c r="V24" i="6"/>
  <c r="W24" i="6"/>
  <c r="Y25" i="6"/>
  <c r="Z25" i="6"/>
  <c r="R27" i="6"/>
  <c r="S27" i="6"/>
  <c r="T27" i="6"/>
  <c r="X27" i="6"/>
  <c r="R20" i="6"/>
  <c r="T21" i="6"/>
  <c r="V22" i="6"/>
  <c r="X23" i="6"/>
  <c r="Z24" i="6"/>
  <c r="R26" i="6"/>
  <c r="Z27" i="6"/>
  <c r="Y26" i="6"/>
  <c r="Z26" i="6"/>
  <c r="W27" i="6"/>
  <c r="Q27" i="6"/>
  <c r="V27" i="6"/>
  <c r="Y27" i="6"/>
  <c r="X26" i="6"/>
  <c r="W26" i="6"/>
  <c r="V26" i="6"/>
  <c r="S26" i="6"/>
  <c r="Q26" i="6"/>
  <c r="X25" i="6"/>
  <c r="W25" i="6"/>
  <c r="V25" i="6"/>
  <c r="S25" i="6"/>
  <c r="R25" i="6"/>
  <c r="Q25" i="6"/>
  <c r="Y24" i="6"/>
  <c r="X24" i="6"/>
  <c r="S24" i="6"/>
  <c r="R24" i="6"/>
  <c r="Q24" i="6"/>
  <c r="Z23" i="6"/>
  <c r="Y23" i="6"/>
  <c r="W23" i="6"/>
  <c r="V23" i="6"/>
  <c r="R23" i="6"/>
  <c r="Q23" i="6"/>
  <c r="Z22" i="6"/>
  <c r="Y22" i="6"/>
  <c r="X22" i="6"/>
  <c r="W22" i="6"/>
  <c r="U22" i="6"/>
  <c r="T22" i="6"/>
  <c r="S22" i="6"/>
  <c r="R22" i="6"/>
  <c r="Q22" i="6"/>
  <c r="X21" i="6"/>
  <c r="W21" i="6"/>
  <c r="V21" i="6"/>
  <c r="U21" i="6"/>
  <c r="S21" i="6"/>
  <c r="R21" i="6"/>
  <c r="Q21" i="6"/>
  <c r="Y20" i="6"/>
  <c r="X20" i="6"/>
  <c r="U20" i="6"/>
  <c r="T20" i="6"/>
  <c r="S20" i="6"/>
  <c r="Q20" i="6"/>
  <c r="W19" i="6"/>
  <c r="V19" i="6"/>
  <c r="U19" i="6"/>
  <c r="S19" i="6"/>
  <c r="R19" i="6"/>
  <c r="Q19" i="6"/>
  <c r="V18" i="6"/>
  <c r="U18" i="6"/>
  <c r="T18" i="6"/>
  <c r="S18" i="6"/>
  <c r="R18" i="6"/>
  <c r="G12" i="6"/>
  <c r="G11" i="6"/>
  <c r="G10" i="6"/>
  <c r="G9" i="6"/>
  <c r="G8" i="6"/>
  <c r="G7" i="6"/>
  <c r="G6" i="6"/>
  <c r="G5" i="6"/>
  <c r="G4" i="6"/>
  <c r="H3" i="6"/>
  <c r="H4" i="6" s="1"/>
  <c r="H5" i="6" s="1"/>
  <c r="H6" i="6" s="1"/>
  <c r="H7" i="6" s="1"/>
  <c r="H8" i="6" s="1"/>
  <c r="H9" i="6" s="1"/>
  <c r="H10" i="6" s="1"/>
  <c r="H11" i="6" s="1"/>
  <c r="H12" i="6" s="1"/>
  <c r="H13" i="6" s="1"/>
  <c r="G3" i="6"/>
  <c r="H6" i="5"/>
  <c r="I6" i="5"/>
  <c r="J6" i="5"/>
  <c r="K6" i="5"/>
  <c r="L6" i="5"/>
  <c r="G6" i="5"/>
  <c r="H8" i="5"/>
  <c r="I8" i="5"/>
  <c r="J8" i="5"/>
  <c r="K8" i="5"/>
  <c r="L8" i="5"/>
  <c r="G8" i="5"/>
  <c r="H10" i="5"/>
  <c r="I10" i="5"/>
  <c r="J10" i="5"/>
  <c r="K10" i="5"/>
  <c r="G10" i="5"/>
  <c r="H12" i="5"/>
  <c r="I12" i="5"/>
  <c r="J12" i="5"/>
  <c r="G12" i="5"/>
  <c r="H14" i="5"/>
  <c r="I14" i="5"/>
  <c r="J14" i="5"/>
  <c r="G14" i="5"/>
  <c r="H16" i="5"/>
  <c r="I16" i="5"/>
  <c r="J16" i="5"/>
  <c r="K16" i="5"/>
  <c r="L16" i="5"/>
  <c r="G16" i="5"/>
  <c r="H18" i="5"/>
  <c r="I18" i="5"/>
  <c r="J18" i="5"/>
  <c r="K18" i="5"/>
  <c r="L18" i="5"/>
  <c r="G18" i="5"/>
  <c r="H20" i="5"/>
  <c r="I20" i="5"/>
  <c r="J20" i="5"/>
  <c r="G20" i="5"/>
  <c r="H22" i="5"/>
  <c r="I22" i="5"/>
  <c r="J22" i="5"/>
  <c r="K22" i="5"/>
  <c r="L22" i="5"/>
  <c r="G22" i="5"/>
  <c r="H24" i="5"/>
  <c r="I24" i="5"/>
  <c r="J24" i="5"/>
  <c r="K24" i="5"/>
  <c r="G24" i="5"/>
  <c r="H26" i="5"/>
  <c r="I26" i="5"/>
  <c r="J26" i="5"/>
  <c r="K26" i="5"/>
  <c r="L26" i="5"/>
  <c r="G26" i="5"/>
  <c r="I4" i="5"/>
  <c r="J4" i="5"/>
  <c r="H4" i="5"/>
  <c r="A4" i="5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H65" i="1"/>
  <c r="I65" i="1"/>
  <c r="J65" i="1"/>
  <c r="K65" i="1"/>
  <c r="L65" i="1"/>
  <c r="G65" i="1"/>
  <c r="H63" i="1"/>
  <c r="I63" i="1"/>
  <c r="J63" i="1"/>
  <c r="K63" i="1"/>
  <c r="G63" i="1"/>
  <c r="H61" i="1"/>
  <c r="I61" i="1"/>
  <c r="J61" i="1"/>
  <c r="K61" i="1"/>
  <c r="L61" i="1"/>
  <c r="G61" i="1"/>
  <c r="H59" i="1"/>
  <c r="I59" i="1"/>
  <c r="J59" i="1"/>
  <c r="G59" i="1"/>
  <c r="H57" i="1"/>
  <c r="I57" i="1"/>
  <c r="J57" i="1"/>
  <c r="K57" i="1"/>
  <c r="L57" i="1"/>
  <c r="G57" i="1"/>
  <c r="H55" i="1"/>
  <c r="I55" i="1"/>
  <c r="J55" i="1"/>
  <c r="K55" i="1"/>
  <c r="L55" i="1"/>
  <c r="G55" i="1"/>
  <c r="H53" i="1"/>
  <c r="I53" i="1"/>
  <c r="J53" i="1"/>
  <c r="G53" i="1"/>
  <c r="H51" i="1"/>
  <c r="I51" i="1"/>
  <c r="J51" i="1"/>
  <c r="G51" i="1"/>
  <c r="H49" i="1"/>
  <c r="I49" i="1"/>
  <c r="J49" i="1"/>
  <c r="K49" i="1"/>
  <c r="G49" i="1"/>
  <c r="H47" i="1"/>
  <c r="I47" i="1"/>
  <c r="J47" i="1"/>
  <c r="K47" i="1"/>
  <c r="L47" i="1"/>
  <c r="G47" i="1"/>
  <c r="H45" i="1"/>
  <c r="I45" i="1"/>
  <c r="J45" i="1"/>
  <c r="K45" i="1"/>
  <c r="L45" i="1"/>
  <c r="G45" i="1"/>
  <c r="I43" i="1"/>
  <c r="J43" i="1"/>
  <c r="H43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D3" i="2" l="1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D23" i="2"/>
  <c r="E23" i="2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D26" i="2"/>
  <c r="E26" i="2"/>
  <c r="F26" i="2"/>
  <c r="G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D29" i="2"/>
  <c r="E29" i="2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X29" i="2"/>
  <c r="Y29" i="2"/>
  <c r="Z29" i="2"/>
  <c r="AA29" i="2"/>
  <c r="AB29" i="2"/>
  <c r="AC29" i="2"/>
  <c r="AD29" i="2"/>
  <c r="AE29" i="2"/>
  <c r="AF29" i="2"/>
  <c r="D30" i="2"/>
  <c r="E30" i="2"/>
  <c r="F30" i="2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X30" i="2"/>
  <c r="Y30" i="2"/>
  <c r="Z30" i="2"/>
  <c r="AA30" i="2"/>
  <c r="AB30" i="2"/>
  <c r="AC30" i="2"/>
  <c r="AD30" i="2"/>
  <c r="AE30" i="2"/>
  <c r="AF30" i="2"/>
  <c r="D31" i="2"/>
  <c r="E31" i="2"/>
  <c r="F31" i="2"/>
  <c r="G31" i="2"/>
  <c r="H31" i="2"/>
  <c r="I31" i="2"/>
  <c r="J31" i="2"/>
  <c r="K31" i="2"/>
  <c r="L31" i="2"/>
  <c r="M31" i="2"/>
  <c r="N31" i="2"/>
  <c r="O31" i="2"/>
  <c r="P31" i="2"/>
  <c r="Q31" i="2"/>
  <c r="R31" i="2"/>
  <c r="S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D32" i="2"/>
  <c r="E32" i="2"/>
  <c r="F32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" i="2"/>
  <c r="G25" i="1"/>
  <c r="G11" i="1"/>
  <c r="G12" i="1"/>
  <c r="G13" i="1"/>
  <c r="G14" i="1"/>
  <c r="G15" i="1"/>
  <c r="G26" i="1"/>
  <c r="G27" i="1"/>
  <c r="G4" i="1"/>
  <c r="G5" i="1"/>
  <c r="G6" i="1"/>
  <c r="G7" i="1"/>
  <c r="G8" i="1"/>
  <c r="G9" i="1"/>
  <c r="G10" i="1"/>
  <c r="G16" i="1"/>
  <c r="G17" i="1"/>
  <c r="G18" i="1"/>
  <c r="G19" i="1"/>
  <c r="G20" i="1"/>
  <c r="G21" i="1"/>
  <c r="G22" i="1"/>
  <c r="G23" i="1"/>
  <c r="G24" i="1"/>
  <c r="G28" i="1"/>
  <c r="G29" i="1"/>
  <c r="G30" i="1"/>
  <c r="G31" i="1"/>
  <c r="G32" i="1"/>
  <c r="G3" i="1"/>
  <c r="I3" i="1"/>
</calcChain>
</file>

<file path=xl/sharedStrings.xml><?xml version="1.0" encoding="utf-8"?>
<sst xmlns="http://schemas.openxmlformats.org/spreadsheetml/2006/main" count="788" uniqueCount="62">
  <si>
    <t>trip_id</t>
  </si>
  <si>
    <t>duration</t>
  </si>
  <si>
    <t>dep_terminal</t>
  </si>
  <si>
    <t>arr_terminal</t>
  </si>
  <si>
    <t>dep_time</t>
  </si>
  <si>
    <t>arr_time</t>
  </si>
  <si>
    <t>AB1</t>
  </si>
  <si>
    <t>Terminal A</t>
  </si>
  <si>
    <t>Terminal B</t>
  </si>
  <si>
    <t>AB2</t>
  </si>
  <si>
    <t>AB3</t>
  </si>
  <si>
    <t>AB4</t>
  </si>
  <si>
    <t>AB5</t>
  </si>
  <si>
    <t>AB6</t>
  </si>
  <si>
    <t>AB7</t>
  </si>
  <si>
    <t>AB8</t>
  </si>
  <si>
    <t>Terminal</t>
  </si>
  <si>
    <t>Min_Layover</t>
  </si>
  <si>
    <t>AC1</t>
  </si>
  <si>
    <t>Terminal C</t>
  </si>
  <si>
    <t>AC2</t>
  </si>
  <si>
    <t>AC3</t>
  </si>
  <si>
    <t>AC4</t>
  </si>
  <si>
    <t>AC5</t>
  </si>
  <si>
    <t>AD1</t>
  </si>
  <si>
    <t>Terminal D</t>
  </si>
  <si>
    <t>BA1</t>
  </si>
  <si>
    <t>BA2</t>
  </si>
  <si>
    <t>BA3</t>
  </si>
  <si>
    <t>BA4</t>
  </si>
  <si>
    <t>BA5</t>
  </si>
  <si>
    <t>BA6</t>
  </si>
  <si>
    <t>BA7</t>
  </si>
  <si>
    <t>BA8</t>
  </si>
  <si>
    <t>CA1</t>
  </si>
  <si>
    <t>CA2</t>
  </si>
  <si>
    <t>CA3</t>
  </si>
  <si>
    <t>CA4</t>
  </si>
  <si>
    <t>CA5</t>
  </si>
  <si>
    <t>CD1</t>
  </si>
  <si>
    <t>DA1</t>
  </si>
  <si>
    <t>DC1</t>
  </si>
  <si>
    <t>CS</t>
  </si>
  <si>
    <t>(MAX_DURATION == 500, time to recharge = 100 seconds)</t>
  </si>
  <si>
    <t>Duration to CS</t>
  </si>
  <si>
    <t>MAX_DURATION</t>
  </si>
  <si>
    <t>cost_to_cs</t>
  </si>
  <si>
    <t>DEPOT</t>
  </si>
  <si>
    <t>-</t>
  </si>
  <si>
    <t>CS1</t>
  </si>
  <si>
    <t>Solution</t>
  </si>
  <si>
    <t>CPLEX</t>
  </si>
  <si>
    <t>ID</t>
  </si>
  <si>
    <t>Trips</t>
  </si>
  <si>
    <t>RESULTS</t>
  </si>
  <si>
    <t>(MAX_DURATION == 500, time to recharge = 100mins)</t>
  </si>
  <si>
    <t>\gamma</t>
  </si>
  <si>
    <t>\delta</t>
  </si>
  <si>
    <t>\phi</t>
  </si>
  <si>
    <t>CS2</t>
  </si>
  <si>
    <t>CS3</t>
  </si>
  <si>
    <t>phi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</si>
</sst>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">
    <xf numFmtId="0" fontId="0" fillId="0" borderId="0" xfId="0"/>
    <xf numFmtId="20" fontId="0" fillId="0" borderId="0" xfId="0" applyNumberFormat="1"/>
    <xf numFmtId="164" fontId="0" fillId="0" borderId="0" xfId="0" applyNumberFormat="1"/>
    <xf numFmtId="0" fontId="0" fillId="0" borderId="0" xfId="0" quotePrefix="1"/>
    <xf numFmtId="0" fontId="7" fillId="3" borderId="0" xfId="7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0" fillId="43" borderId="0" xfId="0" applyFill="1"/>
    <xf numFmtId="0" fontId="0" fillId="44" borderId="0" xfId="0" applyFill="1"/>
    <xf numFmtId="0" fontId="0" fillId="45" borderId="0" xfId="0" applyFill="1"/>
    <xf numFmtId="0" fontId="0" fillId="46" borderId="0" xfId="0" applyFill="1"/>
    <xf numFmtId="0" fontId="0" fillId="47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3"/>
  <sheetViews>
    <sheetView tabSelected="1" zoomScale="85" zoomScaleNormal="85" workbookViewId="0">
      <selection activeCell="K16" sqref="K16"/>
    </sheetView>
  </sheetViews>
  <sheetFormatPr defaultRowHeight="15" x14ac:dyDescent="0.25"/>
  <cols>
    <col min="3" max="3" width="13.140625" bestFit="1" customWidth="1"/>
    <col min="4" max="4" width="12" bestFit="1" customWidth="1"/>
    <col min="9" max="9" width="10.5703125" bestFit="1" customWidth="1"/>
    <col min="14" max="14" width="4.7109375" bestFit="1" customWidth="1"/>
    <col min="15" max="44" width="5.1406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46</v>
      </c>
    </row>
    <row r="2" spans="1:12" x14ac:dyDescent="0.25">
      <c r="A2" t="s">
        <v>47</v>
      </c>
      <c r="B2">
        <v>0</v>
      </c>
      <c r="C2" t="s">
        <v>48</v>
      </c>
      <c r="D2" t="s">
        <v>48</v>
      </c>
      <c r="E2" t="s">
        <v>48</v>
      </c>
      <c r="F2" t="s">
        <v>48</v>
      </c>
      <c r="G2">
        <v>20</v>
      </c>
    </row>
    <row r="3" spans="1:12" x14ac:dyDescent="0.25">
      <c r="A3" t="s">
        <v>6</v>
      </c>
      <c r="B3">
        <v>135</v>
      </c>
      <c r="C3" t="s">
        <v>7</v>
      </c>
      <c r="D3" t="s">
        <v>8</v>
      </c>
      <c r="E3" s="1">
        <v>0.3888888888888889</v>
      </c>
      <c r="F3" s="1">
        <v>0.4826388888888889</v>
      </c>
      <c r="G3">
        <f t="shared" ref="G3:G10" si="0">VLOOKUP(D3,$J$11:$L$14,3,FALSE)</f>
        <v>20</v>
      </c>
      <c r="H3">
        <v>0.3888888888888889</v>
      </c>
      <c r="I3" s="2">
        <f>H3+K11/1440</f>
        <v>0.39930555555555558</v>
      </c>
    </row>
    <row r="4" spans="1:12" x14ac:dyDescent="0.25">
      <c r="A4" t="s">
        <v>9</v>
      </c>
      <c r="B4">
        <v>135</v>
      </c>
      <c r="C4" t="s">
        <v>7</v>
      </c>
      <c r="D4" t="s">
        <v>8</v>
      </c>
      <c r="E4" s="1">
        <v>0.51388888888888895</v>
      </c>
      <c r="F4" s="1">
        <v>0.60763888888888895</v>
      </c>
      <c r="G4">
        <f t="shared" si="0"/>
        <v>20</v>
      </c>
    </row>
    <row r="5" spans="1:12" x14ac:dyDescent="0.25">
      <c r="A5" t="s">
        <v>10</v>
      </c>
      <c r="B5">
        <v>135</v>
      </c>
      <c r="C5" t="s">
        <v>7</v>
      </c>
      <c r="D5" t="s">
        <v>8</v>
      </c>
      <c r="E5" s="1">
        <v>0.57638888888888895</v>
      </c>
      <c r="F5" s="1">
        <v>0.67013888888888884</v>
      </c>
      <c r="G5">
        <f t="shared" si="0"/>
        <v>20</v>
      </c>
    </row>
    <row r="6" spans="1:12" x14ac:dyDescent="0.25">
      <c r="A6" t="s">
        <v>11</v>
      </c>
      <c r="B6">
        <v>135</v>
      </c>
      <c r="C6" t="s">
        <v>7</v>
      </c>
      <c r="D6" t="s">
        <v>8</v>
      </c>
      <c r="E6" s="1">
        <v>0.63888888888888895</v>
      </c>
      <c r="F6" s="1">
        <v>0.73263888888888884</v>
      </c>
      <c r="G6">
        <f t="shared" si="0"/>
        <v>20</v>
      </c>
    </row>
    <row r="7" spans="1:12" x14ac:dyDescent="0.25">
      <c r="A7" t="s">
        <v>12</v>
      </c>
      <c r="B7">
        <v>135</v>
      </c>
      <c r="C7" t="s">
        <v>7</v>
      </c>
      <c r="D7" t="s">
        <v>8</v>
      </c>
      <c r="E7" s="1">
        <v>0.68055555555555547</v>
      </c>
      <c r="F7" s="1">
        <v>0.77430555555555547</v>
      </c>
      <c r="G7">
        <f t="shared" si="0"/>
        <v>20</v>
      </c>
    </row>
    <row r="8" spans="1:12" x14ac:dyDescent="0.25">
      <c r="A8" t="s">
        <v>13</v>
      </c>
      <c r="B8">
        <v>135</v>
      </c>
      <c r="C8" t="s">
        <v>7</v>
      </c>
      <c r="D8" t="s">
        <v>8</v>
      </c>
      <c r="E8" s="1">
        <v>0.72222222222222221</v>
      </c>
      <c r="F8" s="1">
        <v>0.81597222222222221</v>
      </c>
      <c r="G8">
        <f t="shared" si="0"/>
        <v>20</v>
      </c>
    </row>
    <row r="9" spans="1:12" x14ac:dyDescent="0.25">
      <c r="A9" t="s">
        <v>14</v>
      </c>
      <c r="B9">
        <v>135</v>
      </c>
      <c r="C9" t="s">
        <v>7</v>
      </c>
      <c r="D9" t="s">
        <v>8</v>
      </c>
      <c r="E9" s="1">
        <v>0.76388888888888884</v>
      </c>
      <c r="F9" s="1">
        <v>0.85763888888888884</v>
      </c>
      <c r="G9">
        <f t="shared" si="0"/>
        <v>20</v>
      </c>
    </row>
    <row r="10" spans="1:12" x14ac:dyDescent="0.25">
      <c r="A10" t="s">
        <v>15</v>
      </c>
      <c r="B10">
        <v>135</v>
      </c>
      <c r="C10" t="s">
        <v>7</v>
      </c>
      <c r="D10" t="s">
        <v>8</v>
      </c>
      <c r="E10" s="1">
        <v>0.82638888888888884</v>
      </c>
      <c r="F10" s="1">
        <v>0.92013888888888884</v>
      </c>
      <c r="G10">
        <f t="shared" si="0"/>
        <v>20</v>
      </c>
      <c r="J10" t="s">
        <v>16</v>
      </c>
      <c r="K10" t="s">
        <v>17</v>
      </c>
      <c r="L10" t="s">
        <v>44</v>
      </c>
    </row>
    <row r="11" spans="1:12" x14ac:dyDescent="0.25">
      <c r="A11" t="s">
        <v>18</v>
      </c>
      <c r="B11">
        <v>140</v>
      </c>
      <c r="C11" t="s">
        <v>7</v>
      </c>
      <c r="D11" t="s">
        <v>19</v>
      </c>
      <c r="E11" s="1">
        <v>0.38541666666666669</v>
      </c>
      <c r="F11" s="1">
        <v>0.4826388888888889</v>
      </c>
      <c r="G11">
        <f t="shared" ref="G11:G29" si="1">VLOOKUP(D11,$J$11:$L$14,3,FALSE)</f>
        <v>20</v>
      </c>
      <c r="J11" t="s">
        <v>7</v>
      </c>
      <c r="K11">
        <v>15</v>
      </c>
      <c r="L11">
        <v>20</v>
      </c>
    </row>
    <row r="12" spans="1:12" x14ac:dyDescent="0.25">
      <c r="A12" t="s">
        <v>20</v>
      </c>
      <c r="B12">
        <v>140</v>
      </c>
      <c r="C12" t="s">
        <v>7</v>
      </c>
      <c r="D12" t="s">
        <v>19</v>
      </c>
      <c r="E12" s="1">
        <v>0.46875</v>
      </c>
      <c r="F12" s="1">
        <v>0.56597222222222221</v>
      </c>
      <c r="G12">
        <f t="shared" si="1"/>
        <v>20</v>
      </c>
      <c r="J12" t="s">
        <v>8</v>
      </c>
      <c r="K12">
        <v>15</v>
      </c>
      <c r="L12">
        <v>20</v>
      </c>
    </row>
    <row r="13" spans="1:12" x14ac:dyDescent="0.25">
      <c r="A13" t="s">
        <v>21</v>
      </c>
      <c r="B13">
        <v>140</v>
      </c>
      <c r="C13" t="s">
        <v>7</v>
      </c>
      <c r="D13" t="s">
        <v>19</v>
      </c>
      <c r="E13" s="1">
        <v>0.55208333333333337</v>
      </c>
      <c r="F13" s="1">
        <v>0.64930555555555558</v>
      </c>
      <c r="G13">
        <f t="shared" si="1"/>
        <v>20</v>
      </c>
      <c r="J13" t="s">
        <v>19</v>
      </c>
      <c r="K13">
        <v>15</v>
      </c>
      <c r="L13">
        <v>20</v>
      </c>
    </row>
    <row r="14" spans="1:12" x14ac:dyDescent="0.25">
      <c r="A14" t="s">
        <v>22</v>
      </c>
      <c r="B14">
        <v>140</v>
      </c>
      <c r="C14" t="s">
        <v>7</v>
      </c>
      <c r="D14" t="s">
        <v>19</v>
      </c>
      <c r="E14" s="1">
        <v>0.80208333333333337</v>
      </c>
      <c r="F14" s="1">
        <v>0.89930555555555547</v>
      </c>
      <c r="G14">
        <f t="shared" si="1"/>
        <v>20</v>
      </c>
      <c r="J14" t="s">
        <v>25</v>
      </c>
      <c r="K14">
        <v>15</v>
      </c>
      <c r="L14">
        <v>20</v>
      </c>
    </row>
    <row r="15" spans="1:12" x14ac:dyDescent="0.25">
      <c r="A15" t="s">
        <v>23</v>
      </c>
      <c r="B15">
        <v>140</v>
      </c>
      <c r="C15" t="s">
        <v>7</v>
      </c>
      <c r="D15" t="s">
        <v>19</v>
      </c>
      <c r="E15" s="1">
        <v>0.84375</v>
      </c>
      <c r="F15" s="1">
        <v>0.94097222222222221</v>
      </c>
      <c r="G15">
        <f t="shared" si="1"/>
        <v>20</v>
      </c>
      <c r="J15" t="s">
        <v>42</v>
      </c>
      <c r="K15">
        <v>100</v>
      </c>
      <c r="L15" t="s">
        <v>43</v>
      </c>
    </row>
    <row r="16" spans="1:12" x14ac:dyDescent="0.25">
      <c r="A16" t="s">
        <v>24</v>
      </c>
      <c r="B16">
        <v>210</v>
      </c>
      <c r="C16" t="s">
        <v>7</v>
      </c>
      <c r="D16" t="s">
        <v>25</v>
      </c>
      <c r="E16" s="1">
        <v>0.3888888888888889</v>
      </c>
      <c r="F16" s="1">
        <v>0.53472222222222221</v>
      </c>
      <c r="G16">
        <f>VLOOKUP(D16,$J$11:$L$14,3,FALSE)</f>
        <v>20</v>
      </c>
      <c r="J16" t="s">
        <v>45</v>
      </c>
      <c r="K16">
        <v>350</v>
      </c>
    </row>
    <row r="17" spans="1:7" x14ac:dyDescent="0.25">
      <c r="A17" t="s">
        <v>26</v>
      </c>
      <c r="B17">
        <v>135</v>
      </c>
      <c r="C17" t="s">
        <v>8</v>
      </c>
      <c r="D17" t="s">
        <v>7</v>
      </c>
      <c r="E17" s="1">
        <v>0.375</v>
      </c>
      <c r="F17" s="1">
        <v>0.46875</v>
      </c>
      <c r="G17">
        <f t="shared" ref="G17:G24" si="2">VLOOKUP(D17,$J$11:$L$14,3,FALSE)</f>
        <v>20</v>
      </c>
    </row>
    <row r="18" spans="1:7" x14ac:dyDescent="0.25">
      <c r="A18" t="s">
        <v>27</v>
      </c>
      <c r="B18">
        <v>135</v>
      </c>
      <c r="C18" t="s">
        <v>8</v>
      </c>
      <c r="D18" t="s">
        <v>7</v>
      </c>
      <c r="E18" s="1">
        <v>0.4375</v>
      </c>
      <c r="F18" s="1">
        <v>0.53125</v>
      </c>
      <c r="G18">
        <f t="shared" si="2"/>
        <v>20</v>
      </c>
    </row>
    <row r="19" spans="1:7" x14ac:dyDescent="0.25">
      <c r="A19" t="s">
        <v>28</v>
      </c>
      <c r="B19">
        <v>135</v>
      </c>
      <c r="C19" t="s">
        <v>8</v>
      </c>
      <c r="D19" t="s">
        <v>7</v>
      </c>
      <c r="E19" s="1">
        <v>0.5</v>
      </c>
      <c r="F19" s="1">
        <v>0.59375</v>
      </c>
      <c r="G19">
        <f t="shared" si="2"/>
        <v>20</v>
      </c>
    </row>
    <row r="20" spans="1:7" x14ac:dyDescent="0.25">
      <c r="A20" t="s">
        <v>29</v>
      </c>
      <c r="B20">
        <v>135</v>
      </c>
      <c r="C20" t="s">
        <v>8</v>
      </c>
      <c r="D20" t="s">
        <v>7</v>
      </c>
      <c r="E20" s="1">
        <v>0.5625</v>
      </c>
      <c r="F20" s="1">
        <v>0.65625</v>
      </c>
      <c r="G20">
        <f t="shared" si="2"/>
        <v>20</v>
      </c>
    </row>
    <row r="21" spans="1:7" x14ac:dyDescent="0.25">
      <c r="A21" t="s">
        <v>30</v>
      </c>
      <c r="B21">
        <v>135</v>
      </c>
      <c r="C21" t="s">
        <v>8</v>
      </c>
      <c r="D21" t="s">
        <v>7</v>
      </c>
      <c r="E21" s="1">
        <v>0.625</v>
      </c>
      <c r="F21" s="1">
        <v>0.71875</v>
      </c>
      <c r="G21">
        <f t="shared" si="2"/>
        <v>20</v>
      </c>
    </row>
    <row r="22" spans="1:7" x14ac:dyDescent="0.25">
      <c r="A22" t="s">
        <v>31</v>
      </c>
      <c r="B22">
        <v>135</v>
      </c>
      <c r="C22" t="s">
        <v>8</v>
      </c>
      <c r="D22" t="s">
        <v>7</v>
      </c>
      <c r="E22" s="1">
        <v>0.6875</v>
      </c>
      <c r="F22" s="1">
        <v>0.78125</v>
      </c>
      <c r="G22">
        <f t="shared" si="2"/>
        <v>20</v>
      </c>
    </row>
    <row r="23" spans="1:7" x14ac:dyDescent="0.25">
      <c r="A23" t="s">
        <v>32</v>
      </c>
      <c r="B23">
        <v>135</v>
      </c>
      <c r="C23" t="s">
        <v>8</v>
      </c>
      <c r="D23" t="s">
        <v>7</v>
      </c>
      <c r="E23" s="1">
        <v>0.75</v>
      </c>
      <c r="F23" s="1">
        <v>0.84375</v>
      </c>
      <c r="G23">
        <f t="shared" si="2"/>
        <v>20</v>
      </c>
    </row>
    <row r="24" spans="1:7" x14ac:dyDescent="0.25">
      <c r="A24" t="s">
        <v>33</v>
      </c>
      <c r="B24">
        <v>135</v>
      </c>
      <c r="C24" t="s">
        <v>8</v>
      </c>
      <c r="D24" t="s">
        <v>7</v>
      </c>
      <c r="E24" s="1">
        <v>0.79166666666666663</v>
      </c>
      <c r="F24" s="1">
        <v>0.88541666666666663</v>
      </c>
      <c r="G24">
        <f t="shared" si="2"/>
        <v>20</v>
      </c>
    </row>
    <row r="25" spans="1:7" x14ac:dyDescent="0.25">
      <c r="A25" t="s">
        <v>34</v>
      </c>
      <c r="B25">
        <v>140</v>
      </c>
      <c r="C25" t="s">
        <v>19</v>
      </c>
      <c r="D25" t="s">
        <v>7</v>
      </c>
      <c r="E25" s="1">
        <v>0.39583333333333331</v>
      </c>
      <c r="F25" s="1">
        <v>0.49305555555555558</v>
      </c>
      <c r="G25">
        <f t="shared" si="1"/>
        <v>20</v>
      </c>
    </row>
    <row r="26" spans="1:7" x14ac:dyDescent="0.25">
      <c r="A26" t="s">
        <v>35</v>
      </c>
      <c r="B26">
        <v>140</v>
      </c>
      <c r="C26" t="s">
        <v>19</v>
      </c>
      <c r="D26" t="s">
        <v>7</v>
      </c>
      <c r="E26" s="1">
        <v>0.51388888888888895</v>
      </c>
      <c r="F26" s="1">
        <v>0.61111111111111105</v>
      </c>
      <c r="G26">
        <f t="shared" si="1"/>
        <v>20</v>
      </c>
    </row>
    <row r="27" spans="1:7" x14ac:dyDescent="0.25">
      <c r="A27" t="s">
        <v>36</v>
      </c>
      <c r="B27">
        <v>140</v>
      </c>
      <c r="C27" t="s">
        <v>19</v>
      </c>
      <c r="D27" t="s">
        <v>7</v>
      </c>
      <c r="E27" s="1">
        <v>0.59722222222222221</v>
      </c>
      <c r="F27" s="1">
        <v>0.69444444444444453</v>
      </c>
      <c r="G27">
        <f t="shared" si="1"/>
        <v>20</v>
      </c>
    </row>
    <row r="28" spans="1:7" x14ac:dyDescent="0.25">
      <c r="A28" t="s">
        <v>37</v>
      </c>
      <c r="B28">
        <v>140</v>
      </c>
      <c r="C28" t="s">
        <v>19</v>
      </c>
      <c r="D28" t="s">
        <v>7</v>
      </c>
      <c r="E28" s="1">
        <v>0.63888888888888895</v>
      </c>
      <c r="F28" s="1">
        <v>0.73611111111111116</v>
      </c>
      <c r="G28">
        <f t="shared" si="1"/>
        <v>20</v>
      </c>
    </row>
    <row r="29" spans="1:7" x14ac:dyDescent="0.25">
      <c r="A29" t="s">
        <v>38</v>
      </c>
      <c r="B29">
        <v>140</v>
      </c>
      <c r="C29" t="s">
        <v>19</v>
      </c>
      <c r="D29" t="s">
        <v>7</v>
      </c>
      <c r="E29" s="1">
        <v>0.72222222222222221</v>
      </c>
      <c r="F29" s="1">
        <v>0.81944444444444453</v>
      </c>
      <c r="G29">
        <f t="shared" si="1"/>
        <v>20</v>
      </c>
    </row>
    <row r="30" spans="1:7" x14ac:dyDescent="0.25">
      <c r="A30" t="s">
        <v>39</v>
      </c>
      <c r="B30">
        <v>270</v>
      </c>
      <c r="C30" t="s">
        <v>19</v>
      </c>
      <c r="D30" t="s">
        <v>25</v>
      </c>
      <c r="E30" s="1">
        <v>0.3125</v>
      </c>
      <c r="F30" s="1">
        <v>0.5</v>
      </c>
      <c r="G30">
        <f>VLOOKUP(D30,$J$11:$L$14,3,FALSE)</f>
        <v>20</v>
      </c>
    </row>
    <row r="31" spans="1:7" x14ac:dyDescent="0.25">
      <c r="A31" t="s">
        <v>40</v>
      </c>
      <c r="B31">
        <v>210</v>
      </c>
      <c r="C31" t="s">
        <v>25</v>
      </c>
      <c r="D31" t="s">
        <v>7</v>
      </c>
      <c r="E31" s="1">
        <v>0.59722222222222221</v>
      </c>
      <c r="F31" s="1">
        <v>0.74305555555555547</v>
      </c>
      <c r="G31">
        <f>VLOOKUP(D31,$J$11:$L$14,3,FALSE)</f>
        <v>20</v>
      </c>
    </row>
    <row r="32" spans="1:7" x14ac:dyDescent="0.25">
      <c r="A32" t="s">
        <v>41</v>
      </c>
      <c r="B32">
        <v>270</v>
      </c>
      <c r="C32" t="s">
        <v>25</v>
      </c>
      <c r="D32" t="s">
        <v>19</v>
      </c>
      <c r="E32" s="1">
        <v>0.5625</v>
      </c>
      <c r="F32" s="1">
        <v>0.75</v>
      </c>
      <c r="G32">
        <f>VLOOKUP(D32,$J$11:$L$14,3,FALSE)</f>
        <v>20</v>
      </c>
    </row>
    <row r="33" spans="1:12" x14ac:dyDescent="0.25">
      <c r="A33" t="s">
        <v>49</v>
      </c>
      <c r="B33">
        <v>60</v>
      </c>
      <c r="C33" t="s">
        <v>48</v>
      </c>
      <c r="D33" t="s">
        <v>48</v>
      </c>
      <c r="E33" t="s">
        <v>48</v>
      </c>
      <c r="F33" t="s">
        <v>48</v>
      </c>
      <c r="G33">
        <v>0</v>
      </c>
    </row>
    <row r="34" spans="1:12" x14ac:dyDescent="0.25">
      <c r="A34" t="s">
        <v>59</v>
      </c>
      <c r="B34">
        <v>75</v>
      </c>
      <c r="C34" t="s">
        <v>48</v>
      </c>
      <c r="D34" t="s">
        <v>48</v>
      </c>
      <c r="E34" t="s">
        <v>48</v>
      </c>
      <c r="F34" t="s">
        <v>48</v>
      </c>
      <c r="G34">
        <v>0</v>
      </c>
    </row>
    <row r="35" spans="1:12" x14ac:dyDescent="0.25">
      <c r="A35" t="s">
        <v>60</v>
      </c>
      <c r="B35">
        <v>70</v>
      </c>
      <c r="C35" t="s">
        <v>48</v>
      </c>
      <c r="D35" t="s">
        <v>48</v>
      </c>
      <c r="E35" t="s">
        <v>48</v>
      </c>
      <c r="F35" t="s">
        <v>48</v>
      </c>
      <c r="G35">
        <v>0</v>
      </c>
    </row>
    <row r="40" spans="1:12" x14ac:dyDescent="0.25">
      <c r="A40" t="s">
        <v>54</v>
      </c>
    </row>
    <row r="41" spans="1:12" x14ac:dyDescent="0.25">
      <c r="A41" t="s">
        <v>52</v>
      </c>
      <c r="B41" t="s">
        <v>53</v>
      </c>
      <c r="F41" t="s">
        <v>51</v>
      </c>
      <c r="G41" t="s">
        <v>50</v>
      </c>
    </row>
    <row r="42" spans="1:12" x14ac:dyDescent="0.25">
      <c r="A42">
        <v>0</v>
      </c>
      <c r="B42" t="s">
        <v>47</v>
      </c>
      <c r="F42" s="6"/>
      <c r="G42">
        <v>0</v>
      </c>
      <c r="H42">
        <v>10</v>
      </c>
      <c r="I42">
        <v>26</v>
      </c>
      <c r="J42">
        <v>0</v>
      </c>
    </row>
    <row r="43" spans="1:12" x14ac:dyDescent="0.25">
      <c r="A43">
        <f>A42+1</f>
        <v>1</v>
      </c>
      <c r="B43" t="s">
        <v>6</v>
      </c>
      <c r="F43" s="6"/>
      <c r="G43" t="s">
        <v>47</v>
      </c>
      <c r="H43" t="str">
        <f>VLOOKUP(H42,$A$42:$B$73,2,FALSE)</f>
        <v>AC2</v>
      </c>
      <c r="I43" t="str">
        <f t="shared" ref="I43:J43" si="3">VLOOKUP(I42,$A$42:$B$73,2,FALSE)</f>
        <v>CA4</v>
      </c>
      <c r="J43" t="str">
        <f t="shared" si="3"/>
        <v>DEPOT</v>
      </c>
    </row>
    <row r="44" spans="1:12" x14ac:dyDescent="0.25">
      <c r="A44">
        <f t="shared" ref="A44:A73" si="4">A43+1</f>
        <v>2</v>
      </c>
      <c r="B44" t="s">
        <v>9</v>
      </c>
      <c r="F44" s="7"/>
      <c r="G44">
        <v>0</v>
      </c>
      <c r="H44">
        <v>1</v>
      </c>
      <c r="I44">
        <v>18</v>
      </c>
      <c r="J44">
        <v>31</v>
      </c>
      <c r="K44">
        <v>13</v>
      </c>
      <c r="L44">
        <v>0</v>
      </c>
    </row>
    <row r="45" spans="1:12" x14ac:dyDescent="0.25">
      <c r="A45">
        <f t="shared" si="4"/>
        <v>3</v>
      </c>
      <c r="B45" s="5" t="s">
        <v>10</v>
      </c>
      <c r="F45" s="7"/>
      <c r="G45" t="str">
        <f>VLOOKUP(G44,$A$42:$B$73,2,FALSE)</f>
        <v>DEPOT</v>
      </c>
      <c r="H45" t="str">
        <f t="shared" ref="H45:L45" si="5">VLOOKUP(H44,$A$42:$B$73,2,FALSE)</f>
        <v>AB1</v>
      </c>
      <c r="I45" t="str">
        <f t="shared" si="5"/>
        <v>BA4</v>
      </c>
      <c r="J45" t="str">
        <f t="shared" si="5"/>
        <v>CS1</v>
      </c>
      <c r="K45" t="str">
        <f t="shared" si="5"/>
        <v>AC5</v>
      </c>
      <c r="L45" t="str">
        <f t="shared" si="5"/>
        <v>DEPOT</v>
      </c>
    </row>
    <row r="46" spans="1:12" x14ac:dyDescent="0.25">
      <c r="A46">
        <f t="shared" si="4"/>
        <v>4</v>
      </c>
      <c r="B46" t="s">
        <v>11</v>
      </c>
      <c r="F46" s="8"/>
      <c r="G46">
        <v>0</v>
      </c>
      <c r="H46">
        <v>2</v>
      </c>
      <c r="I46">
        <v>19</v>
      </c>
      <c r="J46">
        <v>31</v>
      </c>
      <c r="K46">
        <v>8</v>
      </c>
      <c r="L46">
        <v>0</v>
      </c>
    </row>
    <row r="47" spans="1:12" x14ac:dyDescent="0.25">
      <c r="A47">
        <f t="shared" si="4"/>
        <v>5</v>
      </c>
      <c r="B47" t="s">
        <v>12</v>
      </c>
      <c r="F47" s="8"/>
      <c r="G47" t="str">
        <f>VLOOKUP(G46,$A$42:$B$73,2,FALSE)</f>
        <v>DEPOT</v>
      </c>
      <c r="H47" t="str">
        <f t="shared" ref="H47:L47" si="6">VLOOKUP(H46,$A$42:$B$73,2,FALSE)</f>
        <v>AB2</v>
      </c>
      <c r="I47" t="str">
        <f t="shared" si="6"/>
        <v>BA5</v>
      </c>
      <c r="J47" t="str">
        <f t="shared" si="6"/>
        <v>CS1</v>
      </c>
      <c r="K47" t="str">
        <f t="shared" si="6"/>
        <v>AB8</v>
      </c>
      <c r="L47" t="str">
        <f t="shared" si="6"/>
        <v>DEPOT</v>
      </c>
    </row>
    <row r="48" spans="1:12" x14ac:dyDescent="0.25">
      <c r="A48">
        <f t="shared" si="4"/>
        <v>6</v>
      </c>
      <c r="B48" t="s">
        <v>13</v>
      </c>
      <c r="F48" s="9"/>
      <c r="G48">
        <v>0</v>
      </c>
      <c r="H48">
        <v>9</v>
      </c>
      <c r="I48">
        <v>31</v>
      </c>
      <c r="J48">
        <v>25</v>
      </c>
      <c r="K48">
        <v>0</v>
      </c>
    </row>
    <row r="49" spans="1:12" x14ac:dyDescent="0.25">
      <c r="A49">
        <f t="shared" si="4"/>
        <v>7</v>
      </c>
      <c r="B49" t="s">
        <v>14</v>
      </c>
      <c r="F49" s="9"/>
      <c r="G49" t="str">
        <f>VLOOKUP(G48,$A$42:$B$73,2,FALSE)</f>
        <v>DEPOT</v>
      </c>
      <c r="H49" t="str">
        <f t="shared" ref="H49:K49" si="7">VLOOKUP(H48,$A$42:$B$73,2,FALSE)</f>
        <v>AC1</v>
      </c>
      <c r="I49" t="str">
        <f t="shared" si="7"/>
        <v>CS1</v>
      </c>
      <c r="J49" t="str">
        <f t="shared" si="7"/>
        <v>CA3</v>
      </c>
      <c r="K49" t="str">
        <f t="shared" si="7"/>
        <v>DEPOT</v>
      </c>
    </row>
    <row r="50" spans="1:12" x14ac:dyDescent="0.25">
      <c r="A50">
        <f t="shared" si="4"/>
        <v>8</v>
      </c>
      <c r="B50" t="s">
        <v>15</v>
      </c>
      <c r="F50" s="10"/>
      <c r="G50">
        <v>0</v>
      </c>
      <c r="H50">
        <v>11</v>
      </c>
      <c r="I50">
        <v>27</v>
      </c>
      <c r="J50">
        <v>0</v>
      </c>
    </row>
    <row r="51" spans="1:12" x14ac:dyDescent="0.25">
      <c r="A51">
        <f t="shared" si="4"/>
        <v>9</v>
      </c>
      <c r="B51" t="s">
        <v>18</v>
      </c>
      <c r="F51" s="10"/>
      <c r="G51" t="str">
        <f>VLOOKUP(G50,$A$42:$B$73,2,FALSE)</f>
        <v>DEPOT</v>
      </c>
      <c r="H51" t="str">
        <f t="shared" ref="H51:J51" si="8">VLOOKUP(H50,$A$42:$B$73,2,FALSE)</f>
        <v>AC3</v>
      </c>
      <c r="I51" t="str">
        <f t="shared" si="8"/>
        <v>CA5</v>
      </c>
      <c r="J51" t="str">
        <f t="shared" si="8"/>
        <v>DEPOT</v>
      </c>
    </row>
    <row r="52" spans="1:12" x14ac:dyDescent="0.25">
      <c r="A52">
        <f t="shared" si="4"/>
        <v>10</v>
      </c>
      <c r="B52" t="s">
        <v>20</v>
      </c>
      <c r="F52" s="11"/>
      <c r="G52">
        <v>0</v>
      </c>
      <c r="H52">
        <v>14</v>
      </c>
      <c r="I52">
        <v>30</v>
      </c>
      <c r="J52">
        <v>0</v>
      </c>
    </row>
    <row r="53" spans="1:12" x14ac:dyDescent="0.25">
      <c r="A53">
        <f t="shared" si="4"/>
        <v>11</v>
      </c>
      <c r="B53" t="s">
        <v>21</v>
      </c>
      <c r="F53" s="11"/>
      <c r="G53" t="str">
        <f>VLOOKUP(G52,$A$42:$B$73,2,FALSE)</f>
        <v>DEPOT</v>
      </c>
      <c r="H53" t="str">
        <f t="shared" ref="H53:J53" si="9">VLOOKUP(H52,$A$42:$B$73,2,FALSE)</f>
        <v>AD1</v>
      </c>
      <c r="I53" t="str">
        <f t="shared" si="9"/>
        <v>DC1</v>
      </c>
      <c r="J53" t="str">
        <f t="shared" si="9"/>
        <v>DEPOT</v>
      </c>
    </row>
    <row r="54" spans="1:12" x14ac:dyDescent="0.25">
      <c r="A54">
        <f t="shared" si="4"/>
        <v>12</v>
      </c>
      <c r="B54" t="s">
        <v>22</v>
      </c>
      <c r="F54" s="12"/>
      <c r="G54">
        <v>0</v>
      </c>
      <c r="H54">
        <v>15</v>
      </c>
      <c r="I54">
        <v>31</v>
      </c>
      <c r="J54">
        <v>3</v>
      </c>
      <c r="K54">
        <v>20</v>
      </c>
      <c r="L54">
        <v>0</v>
      </c>
    </row>
    <row r="55" spans="1:12" x14ac:dyDescent="0.25">
      <c r="A55">
        <f t="shared" si="4"/>
        <v>13</v>
      </c>
      <c r="B55" t="s">
        <v>23</v>
      </c>
      <c r="F55" s="12"/>
      <c r="G55" t="str">
        <f>VLOOKUP(G54,$A$42:$B$73,2,FALSE)</f>
        <v>DEPOT</v>
      </c>
      <c r="H55" t="str">
        <f t="shared" ref="H55:L55" si="10">VLOOKUP(H54,$A$42:$B$73,2,FALSE)</f>
        <v>BA1</v>
      </c>
      <c r="I55" t="str">
        <f t="shared" si="10"/>
        <v>CS1</v>
      </c>
      <c r="J55" t="str">
        <f t="shared" si="10"/>
        <v>AB3</v>
      </c>
      <c r="K55" t="str">
        <f t="shared" si="10"/>
        <v>BA6</v>
      </c>
      <c r="L55" t="str">
        <f t="shared" si="10"/>
        <v>DEPOT</v>
      </c>
    </row>
    <row r="56" spans="1:12" x14ac:dyDescent="0.25">
      <c r="A56">
        <f t="shared" si="4"/>
        <v>14</v>
      </c>
      <c r="B56" t="s">
        <v>24</v>
      </c>
      <c r="F56" s="13"/>
      <c r="G56">
        <v>0</v>
      </c>
      <c r="H56">
        <v>16</v>
      </c>
      <c r="I56">
        <v>31</v>
      </c>
      <c r="J56">
        <v>5</v>
      </c>
      <c r="K56">
        <v>22</v>
      </c>
      <c r="L56">
        <v>0</v>
      </c>
    </row>
    <row r="57" spans="1:12" x14ac:dyDescent="0.25">
      <c r="A57">
        <f t="shared" si="4"/>
        <v>15</v>
      </c>
      <c r="B57" s="5" t="s">
        <v>26</v>
      </c>
      <c r="F57" s="13"/>
      <c r="G57" t="str">
        <f>VLOOKUP(G56,$A$42:$B$73,2,FALSE)</f>
        <v>DEPOT</v>
      </c>
      <c r="H57" t="str">
        <f t="shared" ref="H57:L57" si="11">VLOOKUP(H56,$A$42:$B$73,2,FALSE)</f>
        <v>BA2</v>
      </c>
      <c r="I57" t="str">
        <f t="shared" si="11"/>
        <v>CS1</v>
      </c>
      <c r="J57" t="str">
        <f t="shared" si="11"/>
        <v>AB5</v>
      </c>
      <c r="K57" t="str">
        <f t="shared" si="11"/>
        <v>BA8</v>
      </c>
      <c r="L57" t="str">
        <f t="shared" si="11"/>
        <v>DEPOT</v>
      </c>
    </row>
    <row r="58" spans="1:12" x14ac:dyDescent="0.25">
      <c r="A58">
        <f t="shared" si="4"/>
        <v>16</v>
      </c>
      <c r="B58" t="s">
        <v>27</v>
      </c>
      <c r="F58" s="14"/>
      <c r="G58">
        <v>0</v>
      </c>
      <c r="H58">
        <v>17</v>
      </c>
      <c r="I58">
        <v>6</v>
      </c>
      <c r="J58">
        <v>0</v>
      </c>
    </row>
    <row r="59" spans="1:12" x14ac:dyDescent="0.25">
      <c r="A59">
        <f t="shared" si="4"/>
        <v>17</v>
      </c>
      <c r="B59" t="s">
        <v>28</v>
      </c>
      <c r="F59" s="14"/>
      <c r="G59" t="str">
        <f>VLOOKUP(G58,$A$42:$B$73,2,FALSE)</f>
        <v>DEPOT</v>
      </c>
      <c r="H59" t="str">
        <f t="shared" ref="H59:J59" si="12">VLOOKUP(H58,$A$42:$B$73,2,FALSE)</f>
        <v>BA3</v>
      </c>
      <c r="I59" t="str">
        <f t="shared" si="12"/>
        <v>AB6</v>
      </c>
      <c r="J59" t="str">
        <f t="shared" si="12"/>
        <v>DEPOT</v>
      </c>
    </row>
    <row r="60" spans="1:12" x14ac:dyDescent="0.25">
      <c r="A60">
        <f t="shared" si="4"/>
        <v>18</v>
      </c>
      <c r="B60" t="s">
        <v>29</v>
      </c>
      <c r="F60" s="5"/>
      <c r="G60">
        <v>0</v>
      </c>
      <c r="H60">
        <v>23</v>
      </c>
      <c r="I60">
        <v>31</v>
      </c>
      <c r="J60">
        <v>4</v>
      </c>
      <c r="K60">
        <v>21</v>
      </c>
      <c r="L60">
        <v>0</v>
      </c>
    </row>
    <row r="61" spans="1:12" x14ac:dyDescent="0.25">
      <c r="A61">
        <f t="shared" si="4"/>
        <v>19</v>
      </c>
      <c r="B61" t="s">
        <v>30</v>
      </c>
      <c r="F61" s="5"/>
      <c r="G61" t="str">
        <f>VLOOKUP(G60,$A$42:$B$73,2,FALSE)</f>
        <v>DEPOT</v>
      </c>
      <c r="H61" t="str">
        <f t="shared" ref="H61:L61" si="13">VLOOKUP(H60,$A$42:$B$73,2,FALSE)</f>
        <v>CA1</v>
      </c>
      <c r="I61" t="str">
        <f t="shared" si="13"/>
        <v>CS1</v>
      </c>
      <c r="J61" t="str">
        <f t="shared" si="13"/>
        <v>AB4</v>
      </c>
      <c r="K61" t="str">
        <f t="shared" si="13"/>
        <v>BA7</v>
      </c>
      <c r="L61" t="str">
        <f t="shared" si="13"/>
        <v>DEPOT</v>
      </c>
    </row>
    <row r="62" spans="1:12" x14ac:dyDescent="0.25">
      <c r="A62">
        <f t="shared" si="4"/>
        <v>20</v>
      </c>
      <c r="B62" t="s">
        <v>31</v>
      </c>
      <c r="F62" s="15"/>
      <c r="G62">
        <v>0</v>
      </c>
      <c r="H62">
        <v>24</v>
      </c>
      <c r="I62">
        <v>31</v>
      </c>
      <c r="J62">
        <v>12</v>
      </c>
      <c r="K62">
        <v>0</v>
      </c>
    </row>
    <row r="63" spans="1:12" x14ac:dyDescent="0.25">
      <c r="A63">
        <f t="shared" si="4"/>
        <v>21</v>
      </c>
      <c r="B63" t="s">
        <v>32</v>
      </c>
      <c r="F63" s="15"/>
      <c r="G63" t="str">
        <f>VLOOKUP(G62,$A$42:$B$73,2,FALSE)</f>
        <v>DEPOT</v>
      </c>
      <c r="H63" t="str">
        <f t="shared" ref="H63:K63" si="14">VLOOKUP(H62,$A$42:$B$73,2,FALSE)</f>
        <v>CA2</v>
      </c>
      <c r="I63" t="str">
        <f t="shared" si="14"/>
        <v>CS1</v>
      </c>
      <c r="J63" t="str">
        <f t="shared" si="14"/>
        <v>AC4</v>
      </c>
      <c r="K63" t="str">
        <f t="shared" si="14"/>
        <v>DEPOT</v>
      </c>
    </row>
    <row r="64" spans="1:12" x14ac:dyDescent="0.25">
      <c r="A64">
        <f t="shared" si="4"/>
        <v>22</v>
      </c>
      <c r="B64" t="s">
        <v>33</v>
      </c>
      <c r="F64" s="16"/>
      <c r="G64">
        <v>0</v>
      </c>
      <c r="H64">
        <v>28</v>
      </c>
      <c r="I64">
        <v>31</v>
      </c>
      <c r="J64">
        <v>29</v>
      </c>
      <c r="K64">
        <v>7</v>
      </c>
      <c r="L64">
        <v>0</v>
      </c>
    </row>
    <row r="65" spans="1:12" x14ac:dyDescent="0.25">
      <c r="A65">
        <f t="shared" si="4"/>
        <v>23</v>
      </c>
      <c r="B65" t="s">
        <v>34</v>
      </c>
      <c r="F65" s="16"/>
      <c r="G65" t="str">
        <f>VLOOKUP(G64,$A$42:$B$73,2,FALSE)</f>
        <v>DEPOT</v>
      </c>
      <c r="H65" t="str">
        <f t="shared" ref="H65:L65" si="15">VLOOKUP(H64,$A$42:$B$73,2,FALSE)</f>
        <v>CD1</v>
      </c>
      <c r="I65" t="str">
        <f t="shared" si="15"/>
        <v>CS1</v>
      </c>
      <c r="J65" t="str">
        <f t="shared" si="15"/>
        <v>DA1</v>
      </c>
      <c r="K65" t="str">
        <f t="shared" si="15"/>
        <v>AB7</v>
      </c>
      <c r="L65" t="str">
        <f t="shared" si="15"/>
        <v>DEPOT</v>
      </c>
    </row>
    <row r="66" spans="1:12" x14ac:dyDescent="0.25">
      <c r="A66">
        <f t="shared" si="4"/>
        <v>24</v>
      </c>
      <c r="B66" t="s">
        <v>35</v>
      </c>
    </row>
    <row r="67" spans="1:12" x14ac:dyDescent="0.25">
      <c r="A67">
        <f t="shared" si="4"/>
        <v>25</v>
      </c>
      <c r="B67" t="s">
        <v>36</v>
      </c>
    </row>
    <row r="68" spans="1:12" x14ac:dyDescent="0.25">
      <c r="A68">
        <f t="shared" si="4"/>
        <v>26</v>
      </c>
      <c r="B68" t="s">
        <v>37</v>
      </c>
    </row>
    <row r="69" spans="1:12" x14ac:dyDescent="0.25">
      <c r="A69">
        <f t="shared" si="4"/>
        <v>27</v>
      </c>
      <c r="B69" t="s">
        <v>38</v>
      </c>
    </row>
    <row r="70" spans="1:12" x14ac:dyDescent="0.25">
      <c r="A70">
        <f t="shared" si="4"/>
        <v>28</v>
      </c>
      <c r="B70" t="s">
        <v>39</v>
      </c>
    </row>
    <row r="71" spans="1:12" x14ac:dyDescent="0.25">
      <c r="A71">
        <f t="shared" si="4"/>
        <v>29</v>
      </c>
      <c r="B71" t="s">
        <v>40</v>
      </c>
    </row>
    <row r="72" spans="1:12" x14ac:dyDescent="0.25">
      <c r="A72">
        <f t="shared" si="4"/>
        <v>30</v>
      </c>
      <c r="B72" t="s">
        <v>41</v>
      </c>
    </row>
    <row r="73" spans="1:12" x14ac:dyDescent="0.25">
      <c r="A73">
        <f t="shared" si="4"/>
        <v>31</v>
      </c>
      <c r="B73" t="s">
        <v>49</v>
      </c>
    </row>
  </sheetData>
  <conditionalFormatting sqref="G42:L65">
    <cfRule type="duplicateValues" dxfId="6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0E1BB-2954-4203-ABA4-D1607545B0E6}">
  <dimension ref="A1:L34"/>
  <sheetViews>
    <sheetView workbookViewId="0">
      <selection activeCell="Q19" sqref="Q19"/>
    </sheetView>
  </sheetViews>
  <sheetFormatPr defaultRowHeight="15" x14ac:dyDescent="0.25"/>
  <sheetData>
    <row r="1" spans="1:12" x14ac:dyDescent="0.25">
      <c r="A1" t="s">
        <v>54</v>
      </c>
    </row>
    <row r="2" spans="1:12" x14ac:dyDescent="0.25">
      <c r="A2" t="s">
        <v>52</v>
      </c>
      <c r="B2" t="s">
        <v>53</v>
      </c>
      <c r="F2" t="s">
        <v>51</v>
      </c>
      <c r="G2" t="s">
        <v>50</v>
      </c>
    </row>
    <row r="3" spans="1:12" x14ac:dyDescent="0.25">
      <c r="A3">
        <v>0</v>
      </c>
      <c r="B3" t="s">
        <v>47</v>
      </c>
      <c r="F3" s="6"/>
      <c r="G3">
        <v>0</v>
      </c>
      <c r="H3">
        <v>10</v>
      </c>
      <c r="I3">
        <v>26</v>
      </c>
      <c r="J3">
        <v>0</v>
      </c>
    </row>
    <row r="4" spans="1:12" x14ac:dyDescent="0.25">
      <c r="A4">
        <f>A3+1</f>
        <v>1</v>
      </c>
      <c r="B4" t="s">
        <v>6</v>
      </c>
      <c r="F4" s="6"/>
      <c r="G4" t="s">
        <v>47</v>
      </c>
      <c r="H4" t="str">
        <f>VLOOKUP(H3,$A$3:$B$34,2,FALSE)</f>
        <v>AC2</v>
      </c>
      <c r="I4" t="str">
        <f t="shared" ref="I4:J4" si="0">VLOOKUP(I3,$A$3:$B$34,2,FALSE)</f>
        <v>CA4</v>
      </c>
      <c r="J4" t="str">
        <f t="shared" si="0"/>
        <v>DEPOT</v>
      </c>
    </row>
    <row r="5" spans="1:12" x14ac:dyDescent="0.25">
      <c r="A5">
        <f t="shared" ref="A5:A34" si="1">A4+1</f>
        <v>2</v>
      </c>
      <c r="B5" t="s">
        <v>9</v>
      </c>
      <c r="F5" s="7"/>
      <c r="G5">
        <v>0</v>
      </c>
      <c r="H5">
        <v>1</v>
      </c>
      <c r="I5">
        <v>18</v>
      </c>
      <c r="J5">
        <v>31</v>
      </c>
      <c r="K5">
        <v>13</v>
      </c>
      <c r="L5">
        <v>0</v>
      </c>
    </row>
    <row r="6" spans="1:12" x14ac:dyDescent="0.25">
      <c r="A6">
        <f t="shared" si="1"/>
        <v>3</v>
      </c>
      <c r="B6" s="5" t="s">
        <v>10</v>
      </c>
      <c r="F6" s="7"/>
      <c r="G6" t="str">
        <f>VLOOKUP(G5,$A$3:$B$34,2,FALSE)</f>
        <v>DEPOT</v>
      </c>
      <c r="H6" t="str">
        <f t="shared" ref="H6:L6" si="2">VLOOKUP(H5,$A$3:$B$34,2,FALSE)</f>
        <v>AB1</v>
      </c>
      <c r="I6" t="str">
        <f t="shared" si="2"/>
        <v>BA4</v>
      </c>
      <c r="J6" t="str">
        <f t="shared" si="2"/>
        <v>CS1</v>
      </c>
      <c r="K6" t="str">
        <f t="shared" si="2"/>
        <v>AC5</v>
      </c>
      <c r="L6" t="str">
        <f t="shared" si="2"/>
        <v>DEPOT</v>
      </c>
    </row>
    <row r="7" spans="1:12" x14ac:dyDescent="0.25">
      <c r="A7">
        <f t="shared" si="1"/>
        <v>4</v>
      </c>
      <c r="B7" t="s">
        <v>11</v>
      </c>
      <c r="F7" s="8"/>
      <c r="G7">
        <v>0</v>
      </c>
      <c r="H7">
        <v>2</v>
      </c>
      <c r="I7">
        <v>19</v>
      </c>
      <c r="J7">
        <v>31</v>
      </c>
      <c r="K7">
        <v>8</v>
      </c>
      <c r="L7">
        <v>0</v>
      </c>
    </row>
    <row r="8" spans="1:12" x14ac:dyDescent="0.25">
      <c r="A8">
        <f t="shared" si="1"/>
        <v>5</v>
      </c>
      <c r="B8" t="s">
        <v>12</v>
      </c>
      <c r="F8" s="8"/>
      <c r="G8" t="str">
        <f>VLOOKUP(G7,$A$3:$B$34,2,FALSE)</f>
        <v>DEPOT</v>
      </c>
      <c r="H8" t="str">
        <f t="shared" ref="H8:L8" si="3">VLOOKUP(H7,$A$3:$B$34,2,FALSE)</f>
        <v>AB2</v>
      </c>
      <c r="I8" t="str">
        <f t="shared" si="3"/>
        <v>BA5</v>
      </c>
      <c r="J8" t="str">
        <f t="shared" si="3"/>
        <v>CS1</v>
      </c>
      <c r="K8" t="str">
        <f t="shared" si="3"/>
        <v>AB8</v>
      </c>
      <c r="L8" t="str">
        <f t="shared" si="3"/>
        <v>DEPOT</v>
      </c>
    </row>
    <row r="9" spans="1:12" x14ac:dyDescent="0.25">
      <c r="A9">
        <f t="shared" si="1"/>
        <v>6</v>
      </c>
      <c r="B9" t="s">
        <v>13</v>
      </c>
      <c r="F9" s="9"/>
      <c r="G9">
        <v>0</v>
      </c>
      <c r="H9">
        <v>9</v>
      </c>
      <c r="I9">
        <v>31</v>
      </c>
      <c r="J9">
        <v>25</v>
      </c>
      <c r="K9">
        <v>0</v>
      </c>
    </row>
    <row r="10" spans="1:12" x14ac:dyDescent="0.25">
      <c r="A10">
        <f t="shared" si="1"/>
        <v>7</v>
      </c>
      <c r="B10" t="s">
        <v>14</v>
      </c>
      <c r="F10" s="9"/>
      <c r="G10" t="str">
        <f>VLOOKUP(G9,$A$3:$B$34,2,FALSE)</f>
        <v>DEPOT</v>
      </c>
      <c r="H10" t="str">
        <f t="shared" ref="H10:K10" si="4">VLOOKUP(H9,$A$3:$B$34,2,FALSE)</f>
        <v>AC1</v>
      </c>
      <c r="I10" t="str">
        <f t="shared" si="4"/>
        <v>CS1</v>
      </c>
      <c r="J10" t="str">
        <f t="shared" si="4"/>
        <v>CA3</v>
      </c>
      <c r="K10" t="str">
        <f t="shared" si="4"/>
        <v>DEPOT</v>
      </c>
    </row>
    <row r="11" spans="1:12" x14ac:dyDescent="0.25">
      <c r="A11">
        <f t="shared" si="1"/>
        <v>8</v>
      </c>
      <c r="B11" t="s">
        <v>15</v>
      </c>
      <c r="F11" s="10"/>
      <c r="G11">
        <v>0</v>
      </c>
      <c r="H11">
        <v>11</v>
      </c>
      <c r="I11">
        <v>27</v>
      </c>
      <c r="J11">
        <v>0</v>
      </c>
    </row>
    <row r="12" spans="1:12" x14ac:dyDescent="0.25">
      <c r="A12">
        <f t="shared" si="1"/>
        <v>9</v>
      </c>
      <c r="B12" t="s">
        <v>18</v>
      </c>
      <c r="F12" s="10"/>
      <c r="G12" t="str">
        <f>VLOOKUP(G11,$A$3:$B$34,2,FALSE)</f>
        <v>DEPOT</v>
      </c>
      <c r="H12" t="str">
        <f t="shared" ref="H12:J12" si="5">VLOOKUP(H11,$A$3:$B$34,2,FALSE)</f>
        <v>AC3</v>
      </c>
      <c r="I12" t="str">
        <f t="shared" si="5"/>
        <v>CA5</v>
      </c>
      <c r="J12" t="str">
        <f t="shared" si="5"/>
        <v>DEPOT</v>
      </c>
    </row>
    <row r="13" spans="1:12" x14ac:dyDescent="0.25">
      <c r="A13">
        <f t="shared" si="1"/>
        <v>10</v>
      </c>
      <c r="B13" t="s">
        <v>20</v>
      </c>
      <c r="F13" s="11"/>
      <c r="G13">
        <v>0</v>
      </c>
      <c r="H13">
        <v>14</v>
      </c>
      <c r="I13">
        <v>30</v>
      </c>
      <c r="J13">
        <v>0</v>
      </c>
    </row>
    <row r="14" spans="1:12" x14ac:dyDescent="0.25">
      <c r="A14">
        <f t="shared" si="1"/>
        <v>11</v>
      </c>
      <c r="B14" t="s">
        <v>21</v>
      </c>
      <c r="F14" s="11"/>
      <c r="G14" t="str">
        <f>VLOOKUP(G13,$A$3:$B$34,2,FALSE)</f>
        <v>DEPOT</v>
      </c>
      <c r="H14" t="str">
        <f t="shared" ref="H14:J14" si="6">VLOOKUP(H13,$A$3:$B$34,2,FALSE)</f>
        <v>AD1</v>
      </c>
      <c r="I14" t="str">
        <f t="shared" si="6"/>
        <v>DC1</v>
      </c>
      <c r="J14" t="str">
        <f t="shared" si="6"/>
        <v>DEPOT</v>
      </c>
    </row>
    <row r="15" spans="1:12" x14ac:dyDescent="0.25">
      <c r="A15">
        <f t="shared" si="1"/>
        <v>12</v>
      </c>
      <c r="B15" t="s">
        <v>22</v>
      </c>
      <c r="F15" s="12"/>
      <c r="G15">
        <v>0</v>
      </c>
      <c r="H15">
        <v>15</v>
      </c>
      <c r="I15">
        <v>31</v>
      </c>
      <c r="J15">
        <v>3</v>
      </c>
      <c r="K15">
        <v>20</v>
      </c>
      <c r="L15">
        <v>0</v>
      </c>
    </row>
    <row r="16" spans="1:12" x14ac:dyDescent="0.25">
      <c r="A16">
        <f t="shared" si="1"/>
        <v>13</v>
      </c>
      <c r="B16" t="s">
        <v>23</v>
      </c>
      <c r="F16" s="12"/>
      <c r="G16" t="str">
        <f>VLOOKUP(G15,$A$3:$B$34,2,FALSE)</f>
        <v>DEPOT</v>
      </c>
      <c r="H16" t="str">
        <f t="shared" ref="H16:L16" si="7">VLOOKUP(H15,$A$3:$B$34,2,FALSE)</f>
        <v>BA1</v>
      </c>
      <c r="I16" t="str">
        <f t="shared" si="7"/>
        <v>CS1</v>
      </c>
      <c r="J16" t="str">
        <f t="shared" si="7"/>
        <v>AB3</v>
      </c>
      <c r="K16" t="str">
        <f t="shared" si="7"/>
        <v>BA6</v>
      </c>
      <c r="L16" t="str">
        <f t="shared" si="7"/>
        <v>DEPOT</v>
      </c>
    </row>
    <row r="17" spans="1:12" x14ac:dyDescent="0.25">
      <c r="A17">
        <f t="shared" si="1"/>
        <v>14</v>
      </c>
      <c r="B17" t="s">
        <v>24</v>
      </c>
      <c r="F17" s="13"/>
      <c r="G17">
        <v>0</v>
      </c>
      <c r="H17">
        <v>16</v>
      </c>
      <c r="I17">
        <v>31</v>
      </c>
      <c r="J17">
        <v>5</v>
      </c>
      <c r="K17">
        <v>22</v>
      </c>
      <c r="L17">
        <v>0</v>
      </c>
    </row>
    <row r="18" spans="1:12" x14ac:dyDescent="0.25">
      <c r="A18">
        <f t="shared" si="1"/>
        <v>15</v>
      </c>
      <c r="B18" s="5" t="s">
        <v>26</v>
      </c>
      <c r="F18" s="13"/>
      <c r="G18" t="str">
        <f>VLOOKUP(G17,$A$3:$B$34,2,FALSE)</f>
        <v>DEPOT</v>
      </c>
      <c r="H18" t="str">
        <f t="shared" ref="H18:L18" si="8">VLOOKUP(H17,$A$3:$B$34,2,FALSE)</f>
        <v>BA2</v>
      </c>
      <c r="I18" t="str">
        <f t="shared" si="8"/>
        <v>CS1</v>
      </c>
      <c r="J18" t="str">
        <f t="shared" si="8"/>
        <v>AB5</v>
      </c>
      <c r="K18" t="str">
        <f t="shared" si="8"/>
        <v>BA8</v>
      </c>
      <c r="L18" t="str">
        <f t="shared" si="8"/>
        <v>DEPOT</v>
      </c>
    </row>
    <row r="19" spans="1:12" x14ac:dyDescent="0.25">
      <c r="A19">
        <f t="shared" si="1"/>
        <v>16</v>
      </c>
      <c r="B19" t="s">
        <v>27</v>
      </c>
      <c r="F19" s="14"/>
      <c r="G19">
        <v>0</v>
      </c>
      <c r="H19">
        <v>17</v>
      </c>
      <c r="I19">
        <v>6</v>
      </c>
      <c r="J19">
        <v>0</v>
      </c>
    </row>
    <row r="20" spans="1:12" x14ac:dyDescent="0.25">
      <c r="A20">
        <f t="shared" si="1"/>
        <v>17</v>
      </c>
      <c r="B20" t="s">
        <v>28</v>
      </c>
      <c r="F20" s="14"/>
      <c r="G20" t="str">
        <f>VLOOKUP(G19,$A$3:$B$34,2,FALSE)</f>
        <v>DEPOT</v>
      </c>
      <c r="H20" t="str">
        <f t="shared" ref="H20:J20" si="9">VLOOKUP(H19,$A$3:$B$34,2,FALSE)</f>
        <v>BA3</v>
      </c>
      <c r="I20" t="str">
        <f t="shared" si="9"/>
        <v>AB6</v>
      </c>
      <c r="J20" t="str">
        <f t="shared" si="9"/>
        <v>DEPOT</v>
      </c>
    </row>
    <row r="21" spans="1:12" x14ac:dyDescent="0.25">
      <c r="A21">
        <f t="shared" si="1"/>
        <v>18</v>
      </c>
      <c r="B21" t="s">
        <v>29</v>
      </c>
      <c r="F21" s="5"/>
      <c r="G21">
        <v>0</v>
      </c>
      <c r="H21">
        <v>23</v>
      </c>
      <c r="I21">
        <v>31</v>
      </c>
      <c r="J21">
        <v>4</v>
      </c>
      <c r="K21">
        <v>21</v>
      </c>
      <c r="L21">
        <v>0</v>
      </c>
    </row>
    <row r="22" spans="1:12" x14ac:dyDescent="0.25">
      <c r="A22">
        <f t="shared" si="1"/>
        <v>19</v>
      </c>
      <c r="B22" t="s">
        <v>30</v>
      </c>
      <c r="F22" s="5"/>
      <c r="G22" t="str">
        <f>VLOOKUP(G21,$A$3:$B$34,2,FALSE)</f>
        <v>DEPOT</v>
      </c>
      <c r="H22" t="str">
        <f t="shared" ref="H22:L22" si="10">VLOOKUP(H21,$A$3:$B$34,2,FALSE)</f>
        <v>CA1</v>
      </c>
      <c r="I22" t="str">
        <f t="shared" si="10"/>
        <v>CS1</v>
      </c>
      <c r="J22" t="str">
        <f t="shared" si="10"/>
        <v>AB4</v>
      </c>
      <c r="K22" t="str">
        <f t="shared" si="10"/>
        <v>BA7</v>
      </c>
      <c r="L22" t="str">
        <f t="shared" si="10"/>
        <v>DEPOT</v>
      </c>
    </row>
    <row r="23" spans="1:12" x14ac:dyDescent="0.25">
      <c r="A23">
        <f t="shared" si="1"/>
        <v>20</v>
      </c>
      <c r="B23" t="s">
        <v>31</v>
      </c>
      <c r="F23" s="15"/>
      <c r="G23">
        <v>0</v>
      </c>
      <c r="H23">
        <v>24</v>
      </c>
      <c r="I23">
        <v>31</v>
      </c>
      <c r="J23">
        <v>12</v>
      </c>
      <c r="K23">
        <v>0</v>
      </c>
    </row>
    <row r="24" spans="1:12" x14ac:dyDescent="0.25">
      <c r="A24">
        <f t="shared" si="1"/>
        <v>21</v>
      </c>
      <c r="B24" t="s">
        <v>32</v>
      </c>
      <c r="F24" s="15"/>
      <c r="G24" t="str">
        <f>VLOOKUP(G23,$A$3:$B$34,2,FALSE)</f>
        <v>DEPOT</v>
      </c>
      <c r="H24" t="str">
        <f t="shared" ref="H24:K24" si="11">VLOOKUP(H23,$A$3:$B$34,2,FALSE)</f>
        <v>CA2</v>
      </c>
      <c r="I24" t="str">
        <f t="shared" si="11"/>
        <v>CS1</v>
      </c>
      <c r="J24" t="str">
        <f t="shared" si="11"/>
        <v>AC4</v>
      </c>
      <c r="K24" t="str">
        <f t="shared" si="11"/>
        <v>DEPOT</v>
      </c>
    </row>
    <row r="25" spans="1:12" x14ac:dyDescent="0.25">
      <c r="A25">
        <f t="shared" si="1"/>
        <v>22</v>
      </c>
      <c r="B25" t="s">
        <v>33</v>
      </c>
      <c r="F25" s="16"/>
      <c r="G25">
        <v>0</v>
      </c>
      <c r="H25">
        <v>28</v>
      </c>
      <c r="I25">
        <v>31</v>
      </c>
      <c r="J25">
        <v>29</v>
      </c>
      <c r="K25">
        <v>7</v>
      </c>
      <c r="L25">
        <v>0</v>
      </c>
    </row>
    <row r="26" spans="1:12" x14ac:dyDescent="0.25">
      <c r="A26">
        <f t="shared" si="1"/>
        <v>23</v>
      </c>
      <c r="B26" t="s">
        <v>34</v>
      </c>
      <c r="F26" s="16"/>
      <c r="G26" t="str">
        <f>VLOOKUP(G25,$A$3:$B$34,2,FALSE)</f>
        <v>DEPOT</v>
      </c>
      <c r="H26" t="str">
        <f t="shared" ref="H26:L26" si="12">VLOOKUP(H25,$A$3:$B$34,2,FALSE)</f>
        <v>CD1</v>
      </c>
      <c r="I26" t="str">
        <f t="shared" si="12"/>
        <v>CS1</v>
      </c>
      <c r="J26" t="str">
        <f t="shared" si="12"/>
        <v>DA1</v>
      </c>
      <c r="K26" t="str">
        <f t="shared" si="12"/>
        <v>AB7</v>
      </c>
      <c r="L26" t="str">
        <f t="shared" si="12"/>
        <v>DEPOT</v>
      </c>
    </row>
    <row r="27" spans="1:12" x14ac:dyDescent="0.25">
      <c r="A27">
        <f t="shared" si="1"/>
        <v>24</v>
      </c>
      <c r="B27" t="s">
        <v>35</v>
      </c>
    </row>
    <row r="28" spans="1:12" x14ac:dyDescent="0.25">
      <c r="A28">
        <f t="shared" si="1"/>
        <v>25</v>
      </c>
      <c r="B28" t="s">
        <v>36</v>
      </c>
    </row>
    <row r="29" spans="1:12" x14ac:dyDescent="0.25">
      <c r="A29">
        <f t="shared" si="1"/>
        <v>26</v>
      </c>
      <c r="B29" t="s">
        <v>37</v>
      </c>
    </row>
    <row r="30" spans="1:12" x14ac:dyDescent="0.25">
      <c r="A30">
        <f t="shared" si="1"/>
        <v>27</v>
      </c>
      <c r="B30" t="s">
        <v>38</v>
      </c>
    </row>
    <row r="31" spans="1:12" x14ac:dyDescent="0.25">
      <c r="A31">
        <f t="shared" si="1"/>
        <v>28</v>
      </c>
      <c r="B31" t="s">
        <v>39</v>
      </c>
    </row>
    <row r="32" spans="1:12" x14ac:dyDescent="0.25">
      <c r="A32">
        <f t="shared" si="1"/>
        <v>29</v>
      </c>
      <c r="B32" t="s">
        <v>40</v>
      </c>
    </row>
    <row r="33" spans="1:2" x14ac:dyDescent="0.25">
      <c r="A33">
        <f t="shared" si="1"/>
        <v>30</v>
      </c>
      <c r="B33" t="s">
        <v>41</v>
      </c>
    </row>
    <row r="34" spans="1:2" x14ac:dyDescent="0.25">
      <c r="A34">
        <f t="shared" si="1"/>
        <v>31</v>
      </c>
      <c r="B34" t="s">
        <v>49</v>
      </c>
    </row>
  </sheetData>
  <conditionalFormatting sqref="G3:L26">
    <cfRule type="duplicateValues" dxfId="5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BD984-BBED-4C05-90E4-4CD5FF8C00DA}">
  <dimension ref="A1:AB53"/>
  <sheetViews>
    <sheetView topLeftCell="A28" workbookViewId="0">
      <selection activeCell="B31" sqref="B31"/>
    </sheetView>
  </sheetViews>
  <sheetFormatPr defaultRowHeight="15" x14ac:dyDescent="0.25"/>
  <cols>
    <col min="10" max="10" width="26.7109375" customWidth="1"/>
  </cols>
  <sheetData>
    <row r="1" spans="1:2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46</v>
      </c>
      <c r="H1" t="s">
        <v>52</v>
      </c>
    </row>
    <row r="2" spans="1:28" x14ac:dyDescent="0.25">
      <c r="A2" t="s">
        <v>47</v>
      </c>
      <c r="B2">
        <v>0</v>
      </c>
      <c r="C2" t="s">
        <v>48</v>
      </c>
      <c r="D2" t="s">
        <v>48</v>
      </c>
      <c r="E2" t="s">
        <v>48</v>
      </c>
      <c r="F2" t="s">
        <v>48</v>
      </c>
      <c r="G2" t="s">
        <v>48</v>
      </c>
      <c r="H2">
        <v>0</v>
      </c>
    </row>
    <row r="3" spans="1:28" x14ac:dyDescent="0.25">
      <c r="A3" t="s">
        <v>18</v>
      </c>
      <c r="B3">
        <v>140</v>
      </c>
      <c r="C3" t="s">
        <v>7</v>
      </c>
      <c r="D3" t="s">
        <v>19</v>
      </c>
      <c r="E3" s="1">
        <v>0.38541666666666669</v>
      </c>
      <c r="F3" s="1">
        <v>0.4826388888888889</v>
      </c>
      <c r="G3">
        <f t="shared" ref="G3:G12" si="0">VLOOKUP(D3,$J$11:$L$12,3,FALSE)</f>
        <v>20</v>
      </c>
      <c r="H3">
        <f t="shared" ref="H3:H13" si="1">H2+1</f>
        <v>1</v>
      </c>
    </row>
    <row r="4" spans="1:28" x14ac:dyDescent="0.25">
      <c r="A4" t="s">
        <v>20</v>
      </c>
      <c r="B4">
        <v>140</v>
      </c>
      <c r="C4" t="s">
        <v>7</v>
      </c>
      <c r="D4" t="s">
        <v>19</v>
      </c>
      <c r="E4" s="1">
        <v>0.46875</v>
      </c>
      <c r="F4" s="1">
        <v>0.56597222222222221</v>
      </c>
      <c r="G4">
        <f t="shared" si="0"/>
        <v>20</v>
      </c>
      <c r="H4">
        <f t="shared" si="1"/>
        <v>2</v>
      </c>
    </row>
    <row r="5" spans="1:28" x14ac:dyDescent="0.25">
      <c r="A5" t="s">
        <v>21</v>
      </c>
      <c r="B5">
        <v>140</v>
      </c>
      <c r="C5" t="s">
        <v>7</v>
      </c>
      <c r="D5" t="s">
        <v>19</v>
      </c>
      <c r="E5" s="1">
        <v>0.55208333333333337</v>
      </c>
      <c r="F5" s="1">
        <v>0.64930555555555558</v>
      </c>
      <c r="G5">
        <f t="shared" si="0"/>
        <v>20</v>
      </c>
      <c r="H5">
        <f t="shared" si="1"/>
        <v>3</v>
      </c>
    </row>
    <row r="6" spans="1:28" x14ac:dyDescent="0.25">
      <c r="A6" t="s">
        <v>22</v>
      </c>
      <c r="B6">
        <v>140</v>
      </c>
      <c r="C6" t="s">
        <v>7</v>
      </c>
      <c r="D6" t="s">
        <v>19</v>
      </c>
      <c r="E6" s="1">
        <v>0.80208333333333337</v>
      </c>
      <c r="F6" s="1">
        <v>0.89930555555555547</v>
      </c>
      <c r="G6">
        <f t="shared" si="0"/>
        <v>20</v>
      </c>
      <c r="H6">
        <f t="shared" si="1"/>
        <v>4</v>
      </c>
    </row>
    <row r="7" spans="1:28" x14ac:dyDescent="0.25">
      <c r="A7" t="s">
        <v>23</v>
      </c>
      <c r="B7">
        <v>140</v>
      </c>
      <c r="C7" t="s">
        <v>7</v>
      </c>
      <c r="D7" t="s">
        <v>19</v>
      </c>
      <c r="E7" s="1">
        <v>0.84375</v>
      </c>
      <c r="F7" s="1">
        <v>0.94097222222222221</v>
      </c>
      <c r="G7">
        <f t="shared" si="0"/>
        <v>20</v>
      </c>
      <c r="H7">
        <f t="shared" si="1"/>
        <v>5</v>
      </c>
    </row>
    <row r="8" spans="1:28" x14ac:dyDescent="0.25">
      <c r="A8" t="s">
        <v>34</v>
      </c>
      <c r="B8">
        <v>140</v>
      </c>
      <c r="C8" t="s">
        <v>19</v>
      </c>
      <c r="D8" t="s">
        <v>7</v>
      </c>
      <c r="E8" s="1">
        <v>0.39583333333333331</v>
      </c>
      <c r="F8" s="1">
        <v>0.49305555555555558</v>
      </c>
      <c r="G8">
        <f t="shared" si="0"/>
        <v>20</v>
      </c>
      <c r="H8">
        <f t="shared" si="1"/>
        <v>6</v>
      </c>
    </row>
    <row r="9" spans="1:28" x14ac:dyDescent="0.25">
      <c r="A9" t="s">
        <v>35</v>
      </c>
      <c r="B9">
        <v>140</v>
      </c>
      <c r="C9" t="s">
        <v>19</v>
      </c>
      <c r="D9" t="s">
        <v>7</v>
      </c>
      <c r="E9" s="1">
        <v>0.51388888888888884</v>
      </c>
      <c r="F9" s="1">
        <v>0.61111111111111105</v>
      </c>
      <c r="G9">
        <f t="shared" si="0"/>
        <v>20</v>
      </c>
      <c r="H9">
        <f t="shared" si="1"/>
        <v>7</v>
      </c>
    </row>
    <row r="10" spans="1:28" x14ac:dyDescent="0.25">
      <c r="A10" t="s">
        <v>36</v>
      </c>
      <c r="B10">
        <v>140</v>
      </c>
      <c r="C10" t="s">
        <v>19</v>
      </c>
      <c r="D10" t="s">
        <v>7</v>
      </c>
      <c r="E10" s="1">
        <v>0.59722222222222221</v>
      </c>
      <c r="F10" s="1">
        <v>0.69444444444444453</v>
      </c>
      <c r="G10">
        <f t="shared" si="0"/>
        <v>20</v>
      </c>
      <c r="H10">
        <f t="shared" si="1"/>
        <v>8</v>
      </c>
      <c r="J10" t="s">
        <v>16</v>
      </c>
      <c r="K10" t="s">
        <v>17</v>
      </c>
      <c r="L10" t="s">
        <v>44</v>
      </c>
    </row>
    <row r="11" spans="1:28" x14ac:dyDescent="0.25">
      <c r="A11" t="s">
        <v>37</v>
      </c>
      <c r="B11">
        <v>140</v>
      </c>
      <c r="C11" t="s">
        <v>19</v>
      </c>
      <c r="D11" t="s">
        <v>7</v>
      </c>
      <c r="E11" s="1">
        <v>0.63888888888888895</v>
      </c>
      <c r="F11" s="1">
        <v>0.73611111111111116</v>
      </c>
      <c r="G11">
        <f t="shared" si="0"/>
        <v>20</v>
      </c>
      <c r="H11">
        <f t="shared" si="1"/>
        <v>9</v>
      </c>
      <c r="J11" t="s">
        <v>7</v>
      </c>
      <c r="K11">
        <v>15</v>
      </c>
      <c r="L11">
        <v>20</v>
      </c>
    </row>
    <row r="12" spans="1:28" x14ac:dyDescent="0.25">
      <c r="A12" t="s">
        <v>38</v>
      </c>
      <c r="B12">
        <v>140</v>
      </c>
      <c r="C12" t="s">
        <v>19</v>
      </c>
      <c r="D12" t="s">
        <v>7</v>
      </c>
      <c r="E12" s="1">
        <v>0.72222222222222221</v>
      </c>
      <c r="F12" s="1">
        <v>0.81944444444444453</v>
      </c>
      <c r="G12">
        <f t="shared" si="0"/>
        <v>20</v>
      </c>
      <c r="H12">
        <f t="shared" si="1"/>
        <v>10</v>
      </c>
      <c r="J12" t="s">
        <v>19</v>
      </c>
      <c r="K12">
        <v>15</v>
      </c>
      <c r="L12">
        <v>20</v>
      </c>
    </row>
    <row r="13" spans="1:28" x14ac:dyDescent="0.25">
      <c r="A13" t="s">
        <v>49</v>
      </c>
      <c r="B13">
        <v>60</v>
      </c>
      <c r="C13" t="s">
        <v>48</v>
      </c>
      <c r="D13" t="s">
        <v>48</v>
      </c>
      <c r="E13" t="s">
        <v>48</v>
      </c>
      <c r="F13" t="s">
        <v>48</v>
      </c>
      <c r="G13" t="s">
        <v>48</v>
      </c>
      <c r="H13">
        <f t="shared" si="1"/>
        <v>11</v>
      </c>
      <c r="J13">
        <v>100</v>
      </c>
      <c r="K13" t="s">
        <v>55</v>
      </c>
    </row>
    <row r="14" spans="1:28" x14ac:dyDescent="0.25">
      <c r="A14" t="s">
        <v>59</v>
      </c>
      <c r="B14">
        <v>75</v>
      </c>
      <c r="C14" t="s">
        <v>48</v>
      </c>
      <c r="D14" t="s">
        <v>48</v>
      </c>
      <c r="E14" t="s">
        <v>48</v>
      </c>
      <c r="F14" t="s">
        <v>48</v>
      </c>
      <c r="G14" t="s">
        <v>48</v>
      </c>
      <c r="H14">
        <v>12</v>
      </c>
      <c r="J14" t="s">
        <v>45</v>
      </c>
      <c r="K14">
        <v>350</v>
      </c>
    </row>
    <row r="16" spans="1:28" x14ac:dyDescent="0.25">
      <c r="A16" t="s">
        <v>56</v>
      </c>
      <c r="B16" t="s">
        <v>47</v>
      </c>
      <c r="C16" t="s">
        <v>18</v>
      </c>
      <c r="D16" t="s">
        <v>20</v>
      </c>
      <c r="E16" t="s">
        <v>21</v>
      </c>
      <c r="F16" t="s">
        <v>22</v>
      </c>
      <c r="G16" t="s">
        <v>23</v>
      </c>
      <c r="H16" t="s">
        <v>34</v>
      </c>
      <c r="I16" t="s">
        <v>35</v>
      </c>
      <c r="J16" t="s">
        <v>36</v>
      </c>
      <c r="K16" t="s">
        <v>37</v>
      </c>
      <c r="L16" t="s">
        <v>38</v>
      </c>
      <c r="O16" t="s">
        <v>57</v>
      </c>
      <c r="P16" t="s">
        <v>47</v>
      </c>
      <c r="Q16" t="s">
        <v>18</v>
      </c>
      <c r="R16" t="s">
        <v>20</v>
      </c>
      <c r="S16" t="s">
        <v>21</v>
      </c>
      <c r="T16" t="s">
        <v>22</v>
      </c>
      <c r="U16" t="s">
        <v>23</v>
      </c>
      <c r="V16" t="s">
        <v>34</v>
      </c>
      <c r="W16" t="s">
        <v>35</v>
      </c>
      <c r="X16" t="s">
        <v>36</v>
      </c>
      <c r="Y16" t="s">
        <v>37</v>
      </c>
      <c r="Z16" t="s">
        <v>38</v>
      </c>
      <c r="AA16" t="s">
        <v>49</v>
      </c>
      <c r="AB16" t="s">
        <v>59</v>
      </c>
    </row>
    <row r="17" spans="1:28" x14ac:dyDescent="0.25">
      <c r="A17" t="s">
        <v>47</v>
      </c>
      <c r="B17">
        <v>0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O17" t="s">
        <v>47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25">
      <c r="A18" t="s">
        <v>18</v>
      </c>
      <c r="B18">
        <v>1</v>
      </c>
      <c r="C18">
        <f>IF(AND(VLOOKUP(C$16,$A$3:$G$12,5,FALSE) - VLOOKUP($A18,$A$3:$G$12,6,FALSE)&gt;=VLOOKUP(VLOOKUP(C$16,$A$3:$G$12,3,FALSE), $J$11:$L$12, 2, FALSE)/1440, VLOOKUP($A18,$A$3:$G$12,4,FALSE)=VLOOKUP(C$16,$A$3:$G$12,3,FALSE)),1,0)</f>
        <v>0</v>
      </c>
      <c r="D18">
        <f t="shared" ref="D18:L18" si="2">IF(AND(VLOOKUP(D$16,$A$3:$G$12,5,FALSE) - VLOOKUP($A18,$A$3:$G$12,6,FALSE)&gt;=VLOOKUP(VLOOKUP(D$16,$A$3:$G$12,3,FALSE), $J$11:$L$12, 2, FALSE)/1440, VLOOKUP($A18,$A$3:$G$12,4,FALSE)=VLOOKUP(D$16,$A$3:$G$12,3,FALSE)),1,0)</f>
        <v>0</v>
      </c>
      <c r="E18">
        <f t="shared" si="2"/>
        <v>0</v>
      </c>
      <c r="F18">
        <f t="shared" si="2"/>
        <v>0</v>
      </c>
      <c r="G18">
        <f t="shared" si="2"/>
        <v>0</v>
      </c>
      <c r="H18">
        <f t="shared" si="2"/>
        <v>0</v>
      </c>
      <c r="I18">
        <f t="shared" si="2"/>
        <v>1</v>
      </c>
      <c r="J18">
        <f t="shared" si="2"/>
        <v>1</v>
      </c>
      <c r="K18">
        <f t="shared" si="2"/>
        <v>1</v>
      </c>
      <c r="L18">
        <f t="shared" si="2"/>
        <v>1</v>
      </c>
      <c r="O18" t="s">
        <v>18</v>
      </c>
      <c r="P18">
        <v>0</v>
      </c>
      <c r="Q18">
        <v>0</v>
      </c>
      <c r="R18">
        <f t="shared" ref="R18:Z27" si="3">IF(AND(SUM(VLOOKUP($O18,$A$3:$G$12,2,FALSE),VLOOKUP(R$16,$A$3:$G$12,2,FALSE))&lt;$K$14,$O18&lt;&gt;R$16,D18=1),SUM(VLOOKUP($O18,$A$3:$G$12,2,FALSE),VLOOKUP(R$16,$A$3:$G$12,2,FALSE)),0)</f>
        <v>0</v>
      </c>
      <c r="S18">
        <f t="shared" si="3"/>
        <v>0</v>
      </c>
      <c r="T18">
        <f t="shared" si="3"/>
        <v>0</v>
      </c>
      <c r="U18">
        <f t="shared" si="3"/>
        <v>0</v>
      </c>
      <c r="V18">
        <f t="shared" si="3"/>
        <v>0</v>
      </c>
      <c r="W18">
        <v>280</v>
      </c>
      <c r="X18">
        <v>280</v>
      </c>
      <c r="Y18">
        <v>280</v>
      </c>
      <c r="Z18">
        <v>280</v>
      </c>
      <c r="AA18">
        <v>60</v>
      </c>
      <c r="AB18">
        <v>75</v>
      </c>
    </row>
    <row r="19" spans="1:28" x14ac:dyDescent="0.25">
      <c r="A19" t="s">
        <v>20</v>
      </c>
      <c r="B19">
        <v>1</v>
      </c>
      <c r="C19">
        <f t="shared" ref="C19:L27" si="4">IF(AND(VLOOKUP(C$16,$A$3:$G$12,5,FALSE) - VLOOKUP($A19,$A$3:$G$12,6,FALSE)&gt;=VLOOKUP(VLOOKUP(C$16,$A$3:$G$12,3,FALSE), $J$11:$L$12, 2, FALSE)/1440, VLOOKUP($A19,$A$3:$G$12,4,FALSE)=VLOOKUP(C$16,$A$3:$G$12,3,FALSE)),1,0)</f>
        <v>0</v>
      </c>
      <c r="D19">
        <f t="shared" si="4"/>
        <v>0</v>
      </c>
      <c r="E19">
        <f t="shared" si="4"/>
        <v>0</v>
      </c>
      <c r="F19">
        <f t="shared" si="4"/>
        <v>0</v>
      </c>
      <c r="G19">
        <f t="shared" si="4"/>
        <v>0</v>
      </c>
      <c r="H19">
        <f t="shared" si="4"/>
        <v>0</v>
      </c>
      <c r="I19">
        <f t="shared" si="4"/>
        <v>0</v>
      </c>
      <c r="J19">
        <f t="shared" si="4"/>
        <v>1</v>
      </c>
      <c r="K19">
        <f t="shared" si="4"/>
        <v>1</v>
      </c>
      <c r="L19">
        <f t="shared" si="4"/>
        <v>1</v>
      </c>
      <c r="O19" t="s">
        <v>20</v>
      </c>
      <c r="P19">
        <v>0</v>
      </c>
      <c r="Q19">
        <f t="shared" ref="Q19:Q27" si="5">IF(AND(SUM(VLOOKUP($O19,$A$3:$G$12,2,FALSE),VLOOKUP(Q$16,$A$3:$G$12,2,FALSE))&lt;$K$14,$O19&lt;&gt;Q$16,C19=1),SUM(VLOOKUP($O19,$A$3:$G$12,2,FALSE),VLOOKUP(Q$16,$A$3:$G$12,2,FALSE)),0)</f>
        <v>0</v>
      </c>
      <c r="R19">
        <f t="shared" si="3"/>
        <v>0</v>
      </c>
      <c r="S19">
        <f t="shared" si="3"/>
        <v>0</v>
      </c>
      <c r="T19">
        <f t="shared" si="3"/>
        <v>0</v>
      </c>
      <c r="U19">
        <f t="shared" si="3"/>
        <v>0</v>
      </c>
      <c r="V19">
        <f t="shared" si="3"/>
        <v>0</v>
      </c>
      <c r="W19">
        <f t="shared" si="3"/>
        <v>0</v>
      </c>
      <c r="X19">
        <v>280</v>
      </c>
      <c r="Y19">
        <v>280</v>
      </c>
      <c r="Z19">
        <v>280</v>
      </c>
      <c r="AA19">
        <v>60</v>
      </c>
      <c r="AB19">
        <v>75</v>
      </c>
    </row>
    <row r="20" spans="1:28" x14ac:dyDescent="0.25">
      <c r="A20" t="s">
        <v>21</v>
      </c>
      <c r="B20">
        <v>1</v>
      </c>
      <c r="C20">
        <f t="shared" si="4"/>
        <v>0</v>
      </c>
      <c r="D20">
        <f t="shared" si="4"/>
        <v>0</v>
      </c>
      <c r="E20">
        <f t="shared" si="4"/>
        <v>0</v>
      </c>
      <c r="F20">
        <f t="shared" si="4"/>
        <v>0</v>
      </c>
      <c r="G20">
        <f t="shared" si="4"/>
        <v>0</v>
      </c>
      <c r="H20">
        <f t="shared" si="4"/>
        <v>0</v>
      </c>
      <c r="I20">
        <f t="shared" si="4"/>
        <v>0</v>
      </c>
      <c r="J20">
        <f t="shared" si="4"/>
        <v>0</v>
      </c>
      <c r="K20">
        <f t="shared" si="4"/>
        <v>0</v>
      </c>
      <c r="L20">
        <f t="shared" si="4"/>
        <v>1</v>
      </c>
      <c r="O20" t="s">
        <v>21</v>
      </c>
      <c r="P20">
        <v>0</v>
      </c>
      <c r="Q20">
        <f t="shared" si="5"/>
        <v>0</v>
      </c>
      <c r="R20">
        <f t="shared" si="3"/>
        <v>0</v>
      </c>
      <c r="S20">
        <f t="shared" si="3"/>
        <v>0</v>
      </c>
      <c r="T20">
        <f t="shared" si="3"/>
        <v>0</v>
      </c>
      <c r="U20">
        <f t="shared" si="3"/>
        <v>0</v>
      </c>
      <c r="V20">
        <f t="shared" si="3"/>
        <v>0</v>
      </c>
      <c r="W20">
        <f t="shared" si="3"/>
        <v>0</v>
      </c>
      <c r="X20">
        <f t="shared" si="3"/>
        <v>0</v>
      </c>
      <c r="Y20">
        <f t="shared" si="3"/>
        <v>0</v>
      </c>
      <c r="Z20">
        <v>280</v>
      </c>
      <c r="AA20">
        <v>60</v>
      </c>
      <c r="AB20">
        <v>75</v>
      </c>
    </row>
    <row r="21" spans="1:28" x14ac:dyDescent="0.25">
      <c r="A21" t="s">
        <v>22</v>
      </c>
      <c r="B21">
        <v>1</v>
      </c>
      <c r="C21">
        <f t="shared" si="4"/>
        <v>0</v>
      </c>
      <c r="D21">
        <f t="shared" si="4"/>
        <v>0</v>
      </c>
      <c r="E21">
        <f t="shared" si="4"/>
        <v>0</v>
      </c>
      <c r="F21">
        <f t="shared" si="4"/>
        <v>0</v>
      </c>
      <c r="G21">
        <f t="shared" si="4"/>
        <v>0</v>
      </c>
      <c r="H21">
        <f t="shared" si="4"/>
        <v>0</v>
      </c>
      <c r="I21">
        <f t="shared" si="4"/>
        <v>0</v>
      </c>
      <c r="J21">
        <f t="shared" si="4"/>
        <v>0</v>
      </c>
      <c r="K21">
        <f t="shared" si="4"/>
        <v>0</v>
      </c>
      <c r="L21">
        <f t="shared" si="4"/>
        <v>0</v>
      </c>
      <c r="O21" t="s">
        <v>22</v>
      </c>
      <c r="P21">
        <v>0</v>
      </c>
      <c r="Q21">
        <f t="shared" si="5"/>
        <v>0</v>
      </c>
      <c r="R21">
        <f t="shared" si="3"/>
        <v>0</v>
      </c>
      <c r="S21">
        <f t="shared" si="3"/>
        <v>0</v>
      </c>
      <c r="T21">
        <f t="shared" si="3"/>
        <v>0</v>
      </c>
      <c r="U21">
        <f t="shared" si="3"/>
        <v>0</v>
      </c>
      <c r="V21">
        <f t="shared" si="3"/>
        <v>0</v>
      </c>
      <c r="W21">
        <f t="shared" si="3"/>
        <v>0</v>
      </c>
      <c r="X21">
        <f t="shared" si="3"/>
        <v>0</v>
      </c>
      <c r="Y21">
        <f t="shared" si="3"/>
        <v>0</v>
      </c>
      <c r="Z21">
        <f t="shared" si="3"/>
        <v>0</v>
      </c>
      <c r="AA21">
        <v>60</v>
      </c>
      <c r="AB21">
        <v>75</v>
      </c>
    </row>
    <row r="22" spans="1:28" x14ac:dyDescent="0.25">
      <c r="A22" t="s">
        <v>23</v>
      </c>
      <c r="B22">
        <v>1</v>
      </c>
      <c r="C22">
        <f t="shared" si="4"/>
        <v>0</v>
      </c>
      <c r="D22">
        <f t="shared" si="4"/>
        <v>0</v>
      </c>
      <c r="E22">
        <f t="shared" si="4"/>
        <v>0</v>
      </c>
      <c r="F22">
        <f t="shared" si="4"/>
        <v>0</v>
      </c>
      <c r="G22">
        <f t="shared" si="4"/>
        <v>0</v>
      </c>
      <c r="H22">
        <f t="shared" si="4"/>
        <v>0</v>
      </c>
      <c r="I22">
        <f t="shared" si="4"/>
        <v>0</v>
      </c>
      <c r="J22">
        <f t="shared" si="4"/>
        <v>0</v>
      </c>
      <c r="K22">
        <f t="shared" si="4"/>
        <v>0</v>
      </c>
      <c r="L22">
        <f t="shared" si="4"/>
        <v>0</v>
      </c>
      <c r="O22" t="s">
        <v>23</v>
      </c>
      <c r="P22">
        <v>0</v>
      </c>
      <c r="Q22">
        <f t="shared" si="5"/>
        <v>0</v>
      </c>
      <c r="R22">
        <f t="shared" si="3"/>
        <v>0</v>
      </c>
      <c r="S22">
        <f t="shared" si="3"/>
        <v>0</v>
      </c>
      <c r="T22">
        <f t="shared" si="3"/>
        <v>0</v>
      </c>
      <c r="U22">
        <f t="shared" si="3"/>
        <v>0</v>
      </c>
      <c r="V22">
        <f t="shared" si="3"/>
        <v>0</v>
      </c>
      <c r="W22">
        <f t="shared" si="3"/>
        <v>0</v>
      </c>
      <c r="X22">
        <f t="shared" si="3"/>
        <v>0</v>
      </c>
      <c r="Y22">
        <f t="shared" si="3"/>
        <v>0</v>
      </c>
      <c r="Z22">
        <f t="shared" si="3"/>
        <v>0</v>
      </c>
      <c r="AA22">
        <v>60</v>
      </c>
      <c r="AB22">
        <v>75</v>
      </c>
    </row>
    <row r="23" spans="1:28" x14ac:dyDescent="0.25">
      <c r="A23" t="s">
        <v>34</v>
      </c>
      <c r="B23">
        <v>1</v>
      </c>
      <c r="C23">
        <f t="shared" si="4"/>
        <v>0</v>
      </c>
      <c r="D23">
        <f t="shared" si="4"/>
        <v>0</v>
      </c>
      <c r="E23">
        <f t="shared" si="4"/>
        <v>1</v>
      </c>
      <c r="F23">
        <f t="shared" si="4"/>
        <v>1</v>
      </c>
      <c r="G23">
        <f t="shared" si="4"/>
        <v>1</v>
      </c>
      <c r="H23">
        <f t="shared" si="4"/>
        <v>0</v>
      </c>
      <c r="I23">
        <f t="shared" si="4"/>
        <v>0</v>
      </c>
      <c r="J23">
        <f t="shared" si="4"/>
        <v>0</v>
      </c>
      <c r="K23">
        <f t="shared" si="4"/>
        <v>0</v>
      </c>
      <c r="L23">
        <f t="shared" si="4"/>
        <v>0</v>
      </c>
      <c r="O23" t="s">
        <v>34</v>
      </c>
      <c r="P23">
        <v>0</v>
      </c>
      <c r="Q23">
        <f t="shared" si="5"/>
        <v>0</v>
      </c>
      <c r="R23">
        <f t="shared" si="3"/>
        <v>0</v>
      </c>
      <c r="S23">
        <v>280</v>
      </c>
      <c r="T23">
        <v>280</v>
      </c>
      <c r="U23">
        <v>280</v>
      </c>
      <c r="V23">
        <f t="shared" si="3"/>
        <v>0</v>
      </c>
      <c r="W23">
        <f t="shared" si="3"/>
        <v>0</v>
      </c>
      <c r="X23">
        <f t="shared" si="3"/>
        <v>0</v>
      </c>
      <c r="Y23">
        <f t="shared" si="3"/>
        <v>0</v>
      </c>
      <c r="Z23">
        <f t="shared" si="3"/>
        <v>0</v>
      </c>
      <c r="AA23">
        <v>60</v>
      </c>
      <c r="AB23">
        <v>75</v>
      </c>
    </row>
    <row r="24" spans="1:28" x14ac:dyDescent="0.25">
      <c r="A24" t="s">
        <v>35</v>
      </c>
      <c r="B24">
        <v>1</v>
      </c>
      <c r="C24">
        <f t="shared" si="4"/>
        <v>0</v>
      </c>
      <c r="D24">
        <f t="shared" si="4"/>
        <v>0</v>
      </c>
      <c r="E24">
        <f t="shared" si="4"/>
        <v>0</v>
      </c>
      <c r="F24">
        <f t="shared" si="4"/>
        <v>1</v>
      </c>
      <c r="G24">
        <f t="shared" si="4"/>
        <v>1</v>
      </c>
      <c r="H24">
        <f t="shared" si="4"/>
        <v>0</v>
      </c>
      <c r="I24">
        <f t="shared" si="4"/>
        <v>0</v>
      </c>
      <c r="J24">
        <f t="shared" si="4"/>
        <v>0</v>
      </c>
      <c r="K24">
        <f t="shared" si="4"/>
        <v>0</v>
      </c>
      <c r="L24">
        <f t="shared" si="4"/>
        <v>0</v>
      </c>
      <c r="O24" t="s">
        <v>35</v>
      </c>
      <c r="P24">
        <v>0</v>
      </c>
      <c r="Q24">
        <f t="shared" si="5"/>
        <v>0</v>
      </c>
      <c r="R24">
        <f t="shared" si="3"/>
        <v>0</v>
      </c>
      <c r="S24">
        <f t="shared" si="3"/>
        <v>0</v>
      </c>
      <c r="T24">
        <v>280</v>
      </c>
      <c r="U24">
        <v>280</v>
      </c>
      <c r="V24">
        <f t="shared" si="3"/>
        <v>0</v>
      </c>
      <c r="W24">
        <f t="shared" si="3"/>
        <v>0</v>
      </c>
      <c r="X24">
        <f t="shared" si="3"/>
        <v>0</v>
      </c>
      <c r="Y24">
        <f t="shared" si="3"/>
        <v>0</v>
      </c>
      <c r="Z24">
        <f t="shared" si="3"/>
        <v>0</v>
      </c>
      <c r="AA24">
        <v>60</v>
      </c>
      <c r="AB24">
        <v>75</v>
      </c>
    </row>
    <row r="25" spans="1:28" x14ac:dyDescent="0.25">
      <c r="A25" t="s">
        <v>36</v>
      </c>
      <c r="B25">
        <v>1</v>
      </c>
      <c r="C25">
        <f t="shared" si="4"/>
        <v>0</v>
      </c>
      <c r="D25">
        <f t="shared" si="4"/>
        <v>0</v>
      </c>
      <c r="E25">
        <f t="shared" si="4"/>
        <v>0</v>
      </c>
      <c r="F25">
        <f t="shared" si="4"/>
        <v>1</v>
      </c>
      <c r="G25">
        <f t="shared" si="4"/>
        <v>1</v>
      </c>
      <c r="H25">
        <f t="shared" si="4"/>
        <v>0</v>
      </c>
      <c r="I25">
        <f t="shared" si="4"/>
        <v>0</v>
      </c>
      <c r="J25">
        <f t="shared" si="4"/>
        <v>0</v>
      </c>
      <c r="K25">
        <f t="shared" si="4"/>
        <v>0</v>
      </c>
      <c r="L25">
        <f t="shared" si="4"/>
        <v>0</v>
      </c>
      <c r="O25" t="s">
        <v>36</v>
      </c>
      <c r="P25">
        <v>0</v>
      </c>
      <c r="Q25">
        <f t="shared" si="5"/>
        <v>0</v>
      </c>
      <c r="R25">
        <f t="shared" si="3"/>
        <v>0</v>
      </c>
      <c r="S25">
        <f t="shared" si="3"/>
        <v>0</v>
      </c>
      <c r="T25">
        <v>280</v>
      </c>
      <c r="U25">
        <v>280</v>
      </c>
      <c r="V25">
        <f t="shared" si="3"/>
        <v>0</v>
      </c>
      <c r="W25">
        <f t="shared" si="3"/>
        <v>0</v>
      </c>
      <c r="X25">
        <f t="shared" si="3"/>
        <v>0</v>
      </c>
      <c r="Y25">
        <f t="shared" si="3"/>
        <v>0</v>
      </c>
      <c r="Z25">
        <f t="shared" si="3"/>
        <v>0</v>
      </c>
      <c r="AA25">
        <v>60</v>
      </c>
      <c r="AB25">
        <v>75</v>
      </c>
    </row>
    <row r="26" spans="1:28" x14ac:dyDescent="0.25">
      <c r="A26" t="s">
        <v>37</v>
      </c>
      <c r="B26">
        <v>1</v>
      </c>
      <c r="C26">
        <f t="shared" si="4"/>
        <v>0</v>
      </c>
      <c r="D26">
        <f t="shared" si="4"/>
        <v>0</v>
      </c>
      <c r="E26">
        <f t="shared" si="4"/>
        <v>0</v>
      </c>
      <c r="F26">
        <f t="shared" si="4"/>
        <v>1</v>
      </c>
      <c r="G26">
        <f t="shared" si="4"/>
        <v>1</v>
      </c>
      <c r="H26">
        <f t="shared" si="4"/>
        <v>0</v>
      </c>
      <c r="I26">
        <f t="shared" si="4"/>
        <v>0</v>
      </c>
      <c r="J26">
        <f t="shared" si="4"/>
        <v>0</v>
      </c>
      <c r="K26">
        <f t="shared" si="4"/>
        <v>0</v>
      </c>
      <c r="L26">
        <f t="shared" si="4"/>
        <v>0</v>
      </c>
      <c r="O26" t="s">
        <v>37</v>
      </c>
      <c r="P26">
        <v>0</v>
      </c>
      <c r="Q26">
        <f t="shared" si="5"/>
        <v>0</v>
      </c>
      <c r="R26">
        <f t="shared" si="3"/>
        <v>0</v>
      </c>
      <c r="S26">
        <f t="shared" si="3"/>
        <v>0</v>
      </c>
      <c r="T26">
        <v>280</v>
      </c>
      <c r="U26">
        <v>280</v>
      </c>
      <c r="V26">
        <f t="shared" si="3"/>
        <v>0</v>
      </c>
      <c r="W26">
        <f t="shared" si="3"/>
        <v>0</v>
      </c>
      <c r="X26">
        <f t="shared" si="3"/>
        <v>0</v>
      </c>
      <c r="Y26">
        <f t="shared" si="3"/>
        <v>0</v>
      </c>
      <c r="Z26">
        <f t="shared" si="3"/>
        <v>0</v>
      </c>
      <c r="AA26">
        <v>60</v>
      </c>
      <c r="AB26">
        <v>75</v>
      </c>
    </row>
    <row r="27" spans="1:28" x14ac:dyDescent="0.25">
      <c r="A27" t="s">
        <v>38</v>
      </c>
      <c r="B27">
        <v>1</v>
      </c>
      <c r="C27">
        <f t="shared" si="4"/>
        <v>0</v>
      </c>
      <c r="D27">
        <f t="shared" si="4"/>
        <v>0</v>
      </c>
      <c r="E27">
        <f t="shared" si="4"/>
        <v>0</v>
      </c>
      <c r="F27">
        <f t="shared" si="4"/>
        <v>0</v>
      </c>
      <c r="G27">
        <f t="shared" si="4"/>
        <v>1</v>
      </c>
      <c r="H27">
        <f t="shared" si="4"/>
        <v>0</v>
      </c>
      <c r="I27">
        <f t="shared" si="4"/>
        <v>0</v>
      </c>
      <c r="J27">
        <f t="shared" si="4"/>
        <v>0</v>
      </c>
      <c r="K27">
        <f t="shared" si="4"/>
        <v>0</v>
      </c>
      <c r="L27">
        <f t="shared" si="4"/>
        <v>0</v>
      </c>
      <c r="O27" t="s">
        <v>38</v>
      </c>
      <c r="P27">
        <v>0</v>
      </c>
      <c r="Q27">
        <f t="shared" si="5"/>
        <v>0</v>
      </c>
      <c r="R27">
        <f t="shared" si="3"/>
        <v>0</v>
      </c>
      <c r="S27">
        <f t="shared" si="3"/>
        <v>0</v>
      </c>
      <c r="T27">
        <f t="shared" si="3"/>
        <v>0</v>
      </c>
      <c r="U27">
        <v>280</v>
      </c>
      <c r="V27">
        <f t="shared" si="3"/>
        <v>0</v>
      </c>
      <c r="W27">
        <f t="shared" si="3"/>
        <v>0</v>
      </c>
      <c r="X27">
        <f t="shared" si="3"/>
        <v>0</v>
      </c>
      <c r="Y27">
        <f t="shared" si="3"/>
        <v>0</v>
      </c>
      <c r="Z27">
        <f t="shared" si="3"/>
        <v>0</v>
      </c>
      <c r="AA27">
        <v>60</v>
      </c>
      <c r="AB27">
        <v>75</v>
      </c>
    </row>
    <row r="28" spans="1:28" x14ac:dyDescent="0.25">
      <c r="O28" t="s">
        <v>49</v>
      </c>
      <c r="P28">
        <v>0</v>
      </c>
      <c r="Q28">
        <v>60</v>
      </c>
      <c r="R28">
        <v>60</v>
      </c>
      <c r="S28">
        <v>60</v>
      </c>
      <c r="T28">
        <v>60</v>
      </c>
      <c r="U28">
        <v>60</v>
      </c>
      <c r="V28">
        <v>60</v>
      </c>
      <c r="W28">
        <v>60</v>
      </c>
      <c r="X28">
        <v>60</v>
      </c>
      <c r="Y28">
        <v>60</v>
      </c>
      <c r="Z28">
        <v>60</v>
      </c>
      <c r="AA28">
        <v>0</v>
      </c>
      <c r="AB28">
        <v>0</v>
      </c>
    </row>
    <row r="29" spans="1:28" x14ac:dyDescent="0.25">
      <c r="O29" t="s">
        <v>59</v>
      </c>
      <c r="P29">
        <v>0</v>
      </c>
      <c r="Q29">
        <v>75</v>
      </c>
      <c r="R29">
        <v>75</v>
      </c>
      <c r="S29">
        <v>75</v>
      </c>
      <c r="T29">
        <v>75</v>
      </c>
      <c r="U29">
        <v>75</v>
      </c>
      <c r="V29">
        <v>75</v>
      </c>
      <c r="W29">
        <v>75</v>
      </c>
      <c r="X29">
        <v>75</v>
      </c>
      <c r="Y29">
        <v>75</v>
      </c>
      <c r="Z29">
        <v>75</v>
      </c>
      <c r="AA29">
        <v>0</v>
      </c>
      <c r="AB29">
        <v>0</v>
      </c>
    </row>
    <row r="30" spans="1:28" x14ac:dyDescent="0.25">
      <c r="A30" t="s">
        <v>58</v>
      </c>
      <c r="B30" t="s">
        <v>47</v>
      </c>
      <c r="C30" t="s">
        <v>18</v>
      </c>
      <c r="D30" t="s">
        <v>20</v>
      </c>
      <c r="E30" t="s">
        <v>21</v>
      </c>
      <c r="F30" t="s">
        <v>22</v>
      </c>
      <c r="G30" t="s">
        <v>23</v>
      </c>
      <c r="H30" t="s">
        <v>34</v>
      </c>
      <c r="I30" t="s">
        <v>35</v>
      </c>
      <c r="J30" t="s">
        <v>36</v>
      </c>
      <c r="K30" t="s">
        <v>37</v>
      </c>
      <c r="L30" t="s">
        <v>38</v>
      </c>
      <c r="O30" t="s">
        <v>58</v>
      </c>
      <c r="P30" t="s">
        <v>47</v>
      </c>
      <c r="Q30" t="s">
        <v>18</v>
      </c>
      <c r="R30" t="s">
        <v>20</v>
      </c>
      <c r="S30" t="s">
        <v>21</v>
      </c>
      <c r="T30" t="s">
        <v>22</v>
      </c>
      <c r="U30" t="s">
        <v>23</v>
      </c>
      <c r="V30" t="s">
        <v>34</v>
      </c>
      <c r="W30" t="s">
        <v>35</v>
      </c>
      <c r="X30" t="s">
        <v>36</v>
      </c>
      <c r="Y30" t="s">
        <v>37</v>
      </c>
      <c r="Z30" t="s">
        <v>38</v>
      </c>
    </row>
    <row r="31" spans="1:28" x14ac:dyDescent="0.25">
      <c r="A31" t="s">
        <v>47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O31" t="s">
        <v>47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</row>
    <row r="32" spans="1:28" x14ac:dyDescent="0.25">
      <c r="A32" t="s">
        <v>18</v>
      </c>
      <c r="B32">
        <v>0</v>
      </c>
      <c r="C32">
        <f>IF(AND(VLOOKUP(C$30,$A$3:$G$12,5,FALSE) - VLOOKUP($A32,$A$3:$G$12,6,FALSE)&gt;=(( $B$13)/1440)),1,0)</f>
        <v>0</v>
      </c>
      <c r="D32">
        <f t="shared" ref="D32:L32" si="6">IF(AND(VLOOKUP(D$30,$A$3:$G$12,5,FALSE) - VLOOKUP($A32,$A$3:$G$12,6,FALSE)&gt;=(( $B$13)/1440)),1,0)</f>
        <v>0</v>
      </c>
      <c r="E32">
        <f t="shared" si="6"/>
        <v>1</v>
      </c>
      <c r="F32">
        <f t="shared" si="6"/>
        <v>1</v>
      </c>
      <c r="G32">
        <f t="shared" si="6"/>
        <v>1</v>
      </c>
      <c r="H32">
        <f t="shared" si="6"/>
        <v>0</v>
      </c>
      <c r="I32">
        <f t="shared" si="6"/>
        <v>0</v>
      </c>
      <c r="J32">
        <f t="shared" si="6"/>
        <v>1</v>
      </c>
      <c r="K32">
        <f t="shared" si="6"/>
        <v>1</v>
      </c>
      <c r="L32">
        <f t="shared" si="6"/>
        <v>1</v>
      </c>
      <c r="O32" t="s">
        <v>18</v>
      </c>
      <c r="P32">
        <v>0</v>
      </c>
      <c r="Q32">
        <v>0</v>
      </c>
      <c r="R32">
        <v>0</v>
      </c>
      <c r="S32">
        <v>0</v>
      </c>
      <c r="T32">
        <v>1</v>
      </c>
      <c r="U32">
        <v>1</v>
      </c>
      <c r="V32">
        <v>0</v>
      </c>
      <c r="W32">
        <v>0</v>
      </c>
      <c r="X32">
        <v>1</v>
      </c>
      <c r="Y32">
        <v>1</v>
      </c>
      <c r="Z32">
        <v>1</v>
      </c>
    </row>
    <row r="33" spans="1:26" x14ac:dyDescent="0.25">
      <c r="A33" t="s">
        <v>20</v>
      </c>
      <c r="B33">
        <v>0</v>
      </c>
      <c r="C33">
        <f t="shared" ref="C33:L41" si="7">IF(AND(VLOOKUP(C$30,$A$3:$G$12,5,FALSE) - VLOOKUP($A33,$A$3:$G$12,6,FALSE)&gt;=(( $B$13)/1440)),1,0)</f>
        <v>0</v>
      </c>
      <c r="D33">
        <f t="shared" si="7"/>
        <v>0</v>
      </c>
      <c r="E33">
        <f t="shared" si="7"/>
        <v>0</v>
      </c>
      <c r="F33">
        <f t="shared" si="7"/>
        <v>1</v>
      </c>
      <c r="G33">
        <f t="shared" si="7"/>
        <v>1</v>
      </c>
      <c r="H33">
        <f t="shared" si="7"/>
        <v>0</v>
      </c>
      <c r="I33">
        <f t="shared" si="7"/>
        <v>0</v>
      </c>
      <c r="J33">
        <f t="shared" si="7"/>
        <v>0</v>
      </c>
      <c r="K33">
        <f t="shared" si="7"/>
        <v>1</v>
      </c>
      <c r="L33">
        <f t="shared" si="7"/>
        <v>1</v>
      </c>
      <c r="O33" t="s">
        <v>20</v>
      </c>
      <c r="P33">
        <v>0</v>
      </c>
      <c r="Q33">
        <v>0</v>
      </c>
      <c r="R33">
        <v>0</v>
      </c>
      <c r="S33">
        <v>0</v>
      </c>
      <c r="T33">
        <v>1</v>
      </c>
      <c r="U33">
        <v>1</v>
      </c>
      <c r="V33">
        <v>0</v>
      </c>
      <c r="W33">
        <v>0</v>
      </c>
      <c r="X33">
        <v>0</v>
      </c>
      <c r="Y33">
        <v>0</v>
      </c>
      <c r="Z33">
        <v>1</v>
      </c>
    </row>
    <row r="34" spans="1:26" x14ac:dyDescent="0.25">
      <c r="A34" t="s">
        <v>21</v>
      </c>
      <c r="B34">
        <v>0</v>
      </c>
      <c r="C34">
        <f t="shared" si="7"/>
        <v>0</v>
      </c>
      <c r="D34">
        <f t="shared" si="7"/>
        <v>0</v>
      </c>
      <c r="E34">
        <f t="shared" si="7"/>
        <v>0</v>
      </c>
      <c r="F34">
        <f t="shared" si="7"/>
        <v>1</v>
      </c>
      <c r="G34">
        <f t="shared" si="7"/>
        <v>1</v>
      </c>
      <c r="H34">
        <f t="shared" si="7"/>
        <v>0</v>
      </c>
      <c r="I34">
        <f t="shared" si="7"/>
        <v>0</v>
      </c>
      <c r="J34">
        <f t="shared" si="7"/>
        <v>0</v>
      </c>
      <c r="K34">
        <f t="shared" si="7"/>
        <v>0</v>
      </c>
      <c r="L34">
        <f t="shared" si="7"/>
        <v>1</v>
      </c>
      <c r="O34" t="s">
        <v>21</v>
      </c>
      <c r="P34">
        <v>0</v>
      </c>
      <c r="Q34">
        <v>0</v>
      </c>
      <c r="R34">
        <v>0</v>
      </c>
      <c r="S34">
        <v>0</v>
      </c>
      <c r="T34">
        <v>1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</row>
    <row r="35" spans="1:26" x14ac:dyDescent="0.25">
      <c r="A35" t="s">
        <v>22</v>
      </c>
      <c r="B35">
        <v>0</v>
      </c>
      <c r="C35">
        <f t="shared" si="7"/>
        <v>0</v>
      </c>
      <c r="D35">
        <f t="shared" si="7"/>
        <v>0</v>
      </c>
      <c r="E35">
        <f t="shared" si="7"/>
        <v>0</v>
      </c>
      <c r="F35">
        <f t="shared" si="7"/>
        <v>0</v>
      </c>
      <c r="G35">
        <f t="shared" si="7"/>
        <v>0</v>
      </c>
      <c r="H35">
        <f t="shared" si="7"/>
        <v>0</v>
      </c>
      <c r="I35">
        <f t="shared" si="7"/>
        <v>0</v>
      </c>
      <c r="J35">
        <f t="shared" si="7"/>
        <v>0</v>
      </c>
      <c r="K35">
        <f t="shared" si="7"/>
        <v>0</v>
      </c>
      <c r="L35">
        <f t="shared" si="7"/>
        <v>0</v>
      </c>
      <c r="O35" t="s">
        <v>22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</row>
    <row r="36" spans="1:26" x14ac:dyDescent="0.25">
      <c r="A36" t="s">
        <v>23</v>
      </c>
      <c r="B36">
        <v>0</v>
      </c>
      <c r="C36">
        <f t="shared" si="7"/>
        <v>0</v>
      </c>
      <c r="D36">
        <f t="shared" si="7"/>
        <v>0</v>
      </c>
      <c r="E36">
        <f t="shared" si="7"/>
        <v>0</v>
      </c>
      <c r="F36">
        <f t="shared" si="7"/>
        <v>0</v>
      </c>
      <c r="G36">
        <f t="shared" si="7"/>
        <v>0</v>
      </c>
      <c r="H36">
        <f t="shared" si="7"/>
        <v>0</v>
      </c>
      <c r="I36">
        <f t="shared" si="7"/>
        <v>0</v>
      </c>
      <c r="J36">
        <f t="shared" si="7"/>
        <v>0</v>
      </c>
      <c r="K36">
        <f t="shared" si="7"/>
        <v>0</v>
      </c>
      <c r="L36">
        <f t="shared" si="7"/>
        <v>0</v>
      </c>
      <c r="O36" t="s">
        <v>23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</row>
    <row r="37" spans="1:26" x14ac:dyDescent="0.25">
      <c r="A37" t="s">
        <v>34</v>
      </c>
      <c r="B37">
        <v>0</v>
      </c>
      <c r="C37">
        <f t="shared" si="7"/>
        <v>0</v>
      </c>
      <c r="D37">
        <f t="shared" si="7"/>
        <v>0</v>
      </c>
      <c r="E37">
        <f t="shared" si="7"/>
        <v>1</v>
      </c>
      <c r="F37">
        <f t="shared" si="7"/>
        <v>1</v>
      </c>
      <c r="G37">
        <f t="shared" si="7"/>
        <v>1</v>
      </c>
      <c r="H37">
        <f t="shared" si="7"/>
        <v>0</v>
      </c>
      <c r="I37">
        <f t="shared" si="7"/>
        <v>0</v>
      </c>
      <c r="J37">
        <f t="shared" si="7"/>
        <v>1</v>
      </c>
      <c r="K37">
        <f t="shared" si="7"/>
        <v>1</v>
      </c>
      <c r="L37">
        <f t="shared" si="7"/>
        <v>1</v>
      </c>
      <c r="O37" t="s">
        <v>34</v>
      </c>
      <c r="P37">
        <v>0</v>
      </c>
      <c r="Q37">
        <v>0</v>
      </c>
      <c r="R37">
        <v>0</v>
      </c>
      <c r="S37">
        <v>0</v>
      </c>
      <c r="T37">
        <v>1</v>
      </c>
      <c r="U37">
        <v>1</v>
      </c>
      <c r="V37">
        <v>0</v>
      </c>
      <c r="W37">
        <v>0</v>
      </c>
      <c r="X37">
        <v>1</v>
      </c>
      <c r="Y37">
        <v>1</v>
      </c>
      <c r="Z37">
        <v>1</v>
      </c>
    </row>
    <row r="38" spans="1:26" x14ac:dyDescent="0.25">
      <c r="A38" t="s">
        <v>35</v>
      </c>
      <c r="B38">
        <v>0</v>
      </c>
      <c r="C38">
        <f t="shared" si="7"/>
        <v>0</v>
      </c>
      <c r="D38">
        <f t="shared" si="7"/>
        <v>0</v>
      </c>
      <c r="E38">
        <f t="shared" si="7"/>
        <v>0</v>
      </c>
      <c r="F38">
        <f t="shared" si="7"/>
        <v>1</v>
      </c>
      <c r="G38">
        <f t="shared" si="7"/>
        <v>1</v>
      </c>
      <c r="H38">
        <f t="shared" si="7"/>
        <v>0</v>
      </c>
      <c r="I38">
        <f t="shared" si="7"/>
        <v>0</v>
      </c>
      <c r="J38">
        <f t="shared" si="7"/>
        <v>0</v>
      </c>
      <c r="K38">
        <f t="shared" si="7"/>
        <v>0</v>
      </c>
      <c r="L38">
        <f t="shared" si="7"/>
        <v>1</v>
      </c>
      <c r="O38" t="s">
        <v>35</v>
      </c>
      <c r="P38">
        <v>0</v>
      </c>
      <c r="Q38">
        <v>0</v>
      </c>
      <c r="R38">
        <v>0</v>
      </c>
      <c r="S38">
        <v>0</v>
      </c>
      <c r="T38">
        <v>1</v>
      </c>
      <c r="U38">
        <v>1</v>
      </c>
      <c r="V38">
        <v>0</v>
      </c>
      <c r="W38">
        <v>0</v>
      </c>
      <c r="X38">
        <v>0</v>
      </c>
      <c r="Y38">
        <v>0</v>
      </c>
      <c r="Z38">
        <v>1</v>
      </c>
    </row>
    <row r="39" spans="1:26" x14ac:dyDescent="0.25">
      <c r="A39" t="s">
        <v>36</v>
      </c>
      <c r="B39">
        <v>0</v>
      </c>
      <c r="C39">
        <f t="shared" si="7"/>
        <v>0</v>
      </c>
      <c r="D39">
        <f t="shared" si="7"/>
        <v>0</v>
      </c>
      <c r="E39">
        <f t="shared" si="7"/>
        <v>0</v>
      </c>
      <c r="F39">
        <f t="shared" si="7"/>
        <v>1</v>
      </c>
      <c r="G39">
        <f t="shared" si="7"/>
        <v>1</v>
      </c>
      <c r="H39">
        <f t="shared" si="7"/>
        <v>0</v>
      </c>
      <c r="I39">
        <f t="shared" si="7"/>
        <v>0</v>
      </c>
      <c r="J39">
        <f t="shared" si="7"/>
        <v>0</v>
      </c>
      <c r="K39">
        <f t="shared" si="7"/>
        <v>0</v>
      </c>
      <c r="L39">
        <f t="shared" si="7"/>
        <v>0</v>
      </c>
      <c r="O39" t="s">
        <v>36</v>
      </c>
      <c r="P39">
        <v>0</v>
      </c>
      <c r="Q39">
        <v>0</v>
      </c>
      <c r="R39">
        <v>0</v>
      </c>
      <c r="S39">
        <v>0</v>
      </c>
      <c r="T39">
        <v>1</v>
      </c>
      <c r="U39">
        <v>1</v>
      </c>
      <c r="V39">
        <v>0</v>
      </c>
      <c r="W39">
        <v>0</v>
      </c>
      <c r="X39">
        <v>0</v>
      </c>
      <c r="Y39">
        <v>0</v>
      </c>
      <c r="Z39">
        <v>0</v>
      </c>
    </row>
    <row r="40" spans="1:26" x14ac:dyDescent="0.25">
      <c r="A40" t="s">
        <v>37</v>
      </c>
      <c r="B40">
        <v>0</v>
      </c>
      <c r="C40">
        <f t="shared" si="7"/>
        <v>0</v>
      </c>
      <c r="D40">
        <f t="shared" si="7"/>
        <v>0</v>
      </c>
      <c r="E40">
        <f t="shared" si="7"/>
        <v>0</v>
      </c>
      <c r="F40">
        <f t="shared" si="7"/>
        <v>1</v>
      </c>
      <c r="G40">
        <f t="shared" si="7"/>
        <v>1</v>
      </c>
      <c r="H40">
        <f t="shared" si="7"/>
        <v>0</v>
      </c>
      <c r="I40">
        <f t="shared" si="7"/>
        <v>0</v>
      </c>
      <c r="J40">
        <f t="shared" si="7"/>
        <v>0</v>
      </c>
      <c r="K40">
        <f t="shared" si="7"/>
        <v>0</v>
      </c>
      <c r="L40">
        <f t="shared" si="7"/>
        <v>0</v>
      </c>
      <c r="O40" t="s">
        <v>37</v>
      </c>
      <c r="P40">
        <v>0</v>
      </c>
      <c r="Q40">
        <v>0</v>
      </c>
      <c r="R40">
        <v>0</v>
      </c>
      <c r="S40">
        <v>0</v>
      </c>
      <c r="T40">
        <v>0</v>
      </c>
      <c r="U40">
        <v>1</v>
      </c>
      <c r="V40">
        <v>0</v>
      </c>
      <c r="W40">
        <v>0</v>
      </c>
      <c r="X40">
        <v>0</v>
      </c>
      <c r="Y40">
        <v>0</v>
      </c>
      <c r="Z40">
        <v>0</v>
      </c>
    </row>
    <row r="41" spans="1:26" x14ac:dyDescent="0.25">
      <c r="A41" t="s">
        <v>38</v>
      </c>
      <c r="B41">
        <v>0</v>
      </c>
      <c r="C41">
        <f t="shared" si="7"/>
        <v>0</v>
      </c>
      <c r="D41">
        <f t="shared" si="7"/>
        <v>0</v>
      </c>
      <c r="E41">
        <f t="shared" si="7"/>
        <v>0</v>
      </c>
      <c r="F41">
        <f t="shared" si="7"/>
        <v>0</v>
      </c>
      <c r="G41">
        <f t="shared" si="7"/>
        <v>0</v>
      </c>
      <c r="H41">
        <f t="shared" si="7"/>
        <v>0</v>
      </c>
      <c r="I41">
        <f t="shared" si="7"/>
        <v>0</v>
      </c>
      <c r="J41">
        <f t="shared" si="7"/>
        <v>0</v>
      </c>
      <c r="K41">
        <f t="shared" si="7"/>
        <v>0</v>
      </c>
      <c r="L41">
        <f t="shared" si="7"/>
        <v>0</v>
      </c>
      <c r="O41" t="s">
        <v>38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</row>
    <row r="42" spans="1:26" x14ac:dyDescent="0.25">
      <c r="A42" t="s">
        <v>47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26" x14ac:dyDescent="0.25">
      <c r="A43" t="s">
        <v>18</v>
      </c>
      <c r="B43">
        <v>0</v>
      </c>
      <c r="C43">
        <f>IF(AND(VLOOKUP(C$30,$A$3:$G$12,5,FALSE) - VLOOKUP($A43,$A$3:$G$12,6,FALSE)&gt;=(( $B$14)/1440)),1,0)</f>
        <v>0</v>
      </c>
      <c r="D43">
        <f t="shared" ref="D43:L43" si="8">IF(AND(VLOOKUP(D$30,$A$3:$G$12,5,FALSE) - VLOOKUP($A43,$A$3:$G$12,6,FALSE)&gt;=(( $B$14)/1440)),1,0)</f>
        <v>0</v>
      </c>
      <c r="E43">
        <f t="shared" si="8"/>
        <v>1</v>
      </c>
      <c r="F43">
        <f t="shared" si="8"/>
        <v>1</v>
      </c>
      <c r="G43">
        <f t="shared" si="8"/>
        <v>1</v>
      </c>
      <c r="H43">
        <f t="shared" si="8"/>
        <v>0</v>
      </c>
      <c r="I43">
        <f t="shared" si="8"/>
        <v>0</v>
      </c>
      <c r="J43">
        <f t="shared" si="8"/>
        <v>1</v>
      </c>
      <c r="K43">
        <f t="shared" si="8"/>
        <v>1</v>
      </c>
      <c r="L43">
        <f t="shared" si="8"/>
        <v>1</v>
      </c>
    </row>
    <row r="44" spans="1:26" x14ac:dyDescent="0.25">
      <c r="A44" t="s">
        <v>20</v>
      </c>
      <c r="B44">
        <v>0</v>
      </c>
      <c r="C44">
        <f t="shared" ref="C44:L52" si="9">IF(AND(VLOOKUP(C$30,$A$3:$G$12,5,FALSE) - VLOOKUP($A44,$A$3:$G$12,6,FALSE)&gt;=(( $B$14)/1440)),1,0)</f>
        <v>0</v>
      </c>
      <c r="D44">
        <f t="shared" si="9"/>
        <v>0</v>
      </c>
      <c r="E44">
        <f t="shared" si="9"/>
        <v>0</v>
      </c>
      <c r="F44">
        <f t="shared" si="9"/>
        <v>1</v>
      </c>
      <c r="G44">
        <f t="shared" si="9"/>
        <v>1</v>
      </c>
      <c r="H44">
        <f t="shared" si="9"/>
        <v>0</v>
      </c>
      <c r="I44">
        <f t="shared" si="9"/>
        <v>0</v>
      </c>
      <c r="J44">
        <f t="shared" si="9"/>
        <v>0</v>
      </c>
      <c r="K44">
        <f t="shared" si="9"/>
        <v>1</v>
      </c>
      <c r="L44">
        <f t="shared" si="9"/>
        <v>1</v>
      </c>
    </row>
    <row r="45" spans="1:26" x14ac:dyDescent="0.25">
      <c r="A45" t="s">
        <v>21</v>
      </c>
      <c r="B45">
        <v>0</v>
      </c>
      <c r="C45">
        <f t="shared" si="9"/>
        <v>0</v>
      </c>
      <c r="D45">
        <f t="shared" si="9"/>
        <v>0</v>
      </c>
      <c r="E45">
        <f t="shared" si="9"/>
        <v>0</v>
      </c>
      <c r="F45">
        <f t="shared" si="9"/>
        <v>1</v>
      </c>
      <c r="G45">
        <f t="shared" si="9"/>
        <v>1</v>
      </c>
      <c r="H45">
        <f t="shared" si="9"/>
        <v>0</v>
      </c>
      <c r="I45">
        <f t="shared" si="9"/>
        <v>0</v>
      </c>
      <c r="J45">
        <f t="shared" si="9"/>
        <v>0</v>
      </c>
      <c r="K45">
        <f t="shared" si="9"/>
        <v>0</v>
      </c>
      <c r="L45">
        <f t="shared" si="9"/>
        <v>1</v>
      </c>
      <c r="S45">
        <f>VLOOKUP(K$30,$A$3:$G$12,5,FALSE) - VLOOKUP($A38,$A$3:$G$12,6,FALSE)</f>
        <v>2.7777777777777901E-2</v>
      </c>
      <c r="T45">
        <f>($B$13)/1440</f>
        <v>4.1666666666666664E-2</v>
      </c>
    </row>
    <row r="46" spans="1:26" x14ac:dyDescent="0.25">
      <c r="A46" t="s">
        <v>22</v>
      </c>
      <c r="B46">
        <v>0</v>
      </c>
      <c r="C46">
        <f t="shared" si="9"/>
        <v>0</v>
      </c>
      <c r="D46">
        <f t="shared" si="9"/>
        <v>0</v>
      </c>
      <c r="E46">
        <f t="shared" si="9"/>
        <v>0</v>
      </c>
      <c r="F46">
        <f t="shared" si="9"/>
        <v>0</v>
      </c>
      <c r="G46">
        <f t="shared" si="9"/>
        <v>0</v>
      </c>
      <c r="H46">
        <f t="shared" si="9"/>
        <v>0</v>
      </c>
      <c r="I46">
        <f t="shared" si="9"/>
        <v>0</v>
      </c>
      <c r="J46">
        <f t="shared" si="9"/>
        <v>0</v>
      </c>
      <c r="K46">
        <f t="shared" si="9"/>
        <v>0</v>
      </c>
      <c r="L46">
        <f t="shared" si="9"/>
        <v>0</v>
      </c>
    </row>
    <row r="47" spans="1:26" x14ac:dyDescent="0.25">
      <c r="A47" t="s">
        <v>23</v>
      </c>
      <c r="B47">
        <v>0</v>
      </c>
      <c r="C47">
        <f t="shared" si="9"/>
        <v>0</v>
      </c>
      <c r="D47">
        <f t="shared" si="9"/>
        <v>0</v>
      </c>
      <c r="E47">
        <f t="shared" si="9"/>
        <v>0</v>
      </c>
      <c r="F47">
        <f t="shared" si="9"/>
        <v>0</v>
      </c>
      <c r="G47">
        <f t="shared" si="9"/>
        <v>0</v>
      </c>
      <c r="H47">
        <f t="shared" si="9"/>
        <v>0</v>
      </c>
      <c r="I47">
        <f t="shared" si="9"/>
        <v>0</v>
      </c>
      <c r="J47">
        <f t="shared" si="9"/>
        <v>0</v>
      </c>
      <c r="K47">
        <f t="shared" si="9"/>
        <v>0</v>
      </c>
      <c r="L47">
        <f t="shared" si="9"/>
        <v>0</v>
      </c>
    </row>
    <row r="48" spans="1:26" x14ac:dyDescent="0.25">
      <c r="A48" t="s">
        <v>34</v>
      </c>
      <c r="B48">
        <v>0</v>
      </c>
      <c r="C48">
        <f t="shared" si="9"/>
        <v>0</v>
      </c>
      <c r="D48">
        <f t="shared" si="9"/>
        <v>0</v>
      </c>
      <c r="E48">
        <f t="shared" si="9"/>
        <v>1</v>
      </c>
      <c r="F48">
        <f t="shared" si="9"/>
        <v>1</v>
      </c>
      <c r="G48">
        <f t="shared" si="9"/>
        <v>1</v>
      </c>
      <c r="H48">
        <f t="shared" si="9"/>
        <v>0</v>
      </c>
      <c r="I48">
        <f t="shared" si="9"/>
        <v>0</v>
      </c>
      <c r="J48">
        <f t="shared" si="9"/>
        <v>1</v>
      </c>
      <c r="K48">
        <f t="shared" si="9"/>
        <v>1</v>
      </c>
      <c r="L48">
        <f t="shared" si="9"/>
        <v>1</v>
      </c>
    </row>
    <row r="49" spans="1:20" x14ac:dyDescent="0.25">
      <c r="A49" t="s">
        <v>35</v>
      </c>
      <c r="B49">
        <v>0</v>
      </c>
      <c r="C49">
        <f t="shared" si="9"/>
        <v>0</v>
      </c>
      <c r="D49">
        <f t="shared" si="9"/>
        <v>0</v>
      </c>
      <c r="E49">
        <f t="shared" si="9"/>
        <v>0</v>
      </c>
      <c r="F49">
        <f t="shared" si="9"/>
        <v>1</v>
      </c>
      <c r="G49">
        <f t="shared" si="9"/>
        <v>1</v>
      </c>
      <c r="H49">
        <f t="shared" si="9"/>
        <v>0</v>
      </c>
      <c r="I49">
        <f t="shared" si="9"/>
        <v>0</v>
      </c>
      <c r="J49">
        <f t="shared" si="9"/>
        <v>0</v>
      </c>
      <c r="K49">
        <f t="shared" si="9"/>
        <v>0</v>
      </c>
      <c r="L49">
        <f t="shared" si="9"/>
        <v>1</v>
      </c>
      <c r="P49" t="s">
        <v>18</v>
      </c>
      <c r="Q49" t="s">
        <v>35</v>
      </c>
      <c r="R49" t="s">
        <v>49</v>
      </c>
      <c r="S49" t="s">
        <v>38</v>
      </c>
      <c r="T49" t="s">
        <v>23</v>
      </c>
    </row>
    <row r="50" spans="1:20" x14ac:dyDescent="0.25">
      <c r="A50" t="s">
        <v>36</v>
      </c>
      <c r="B50">
        <v>0</v>
      </c>
      <c r="C50">
        <f t="shared" si="9"/>
        <v>0</v>
      </c>
      <c r="D50">
        <f t="shared" si="9"/>
        <v>0</v>
      </c>
      <c r="E50">
        <f t="shared" si="9"/>
        <v>0</v>
      </c>
      <c r="F50">
        <f t="shared" si="9"/>
        <v>1</v>
      </c>
      <c r="G50">
        <f t="shared" si="9"/>
        <v>1</v>
      </c>
      <c r="H50">
        <f t="shared" si="9"/>
        <v>0</v>
      </c>
      <c r="I50">
        <f t="shared" si="9"/>
        <v>0</v>
      </c>
      <c r="J50">
        <f t="shared" si="9"/>
        <v>0</v>
      </c>
      <c r="K50">
        <f t="shared" si="9"/>
        <v>0</v>
      </c>
      <c r="L50">
        <f t="shared" si="9"/>
        <v>0</v>
      </c>
      <c r="O50" s="5"/>
      <c r="P50">
        <f>(VLOOKUP(Q49,A3:H12,5,FALSE)-VLOOKUP(P49,A3:H12,6,FALSE))*60</f>
        <v>1.8749999999999967</v>
      </c>
    </row>
    <row r="51" spans="1:20" x14ac:dyDescent="0.25">
      <c r="A51" t="s">
        <v>37</v>
      </c>
      <c r="B51">
        <v>0</v>
      </c>
      <c r="C51">
        <f t="shared" si="9"/>
        <v>0</v>
      </c>
      <c r="D51">
        <f t="shared" si="9"/>
        <v>0</v>
      </c>
      <c r="E51">
        <f t="shared" si="9"/>
        <v>0</v>
      </c>
      <c r="F51">
        <f t="shared" si="9"/>
        <v>1</v>
      </c>
      <c r="G51">
        <f t="shared" si="9"/>
        <v>1</v>
      </c>
      <c r="H51">
        <f t="shared" si="9"/>
        <v>0</v>
      </c>
      <c r="I51">
        <f t="shared" si="9"/>
        <v>0</v>
      </c>
      <c r="J51">
        <f t="shared" si="9"/>
        <v>0</v>
      </c>
      <c r="K51">
        <f t="shared" si="9"/>
        <v>0</v>
      </c>
      <c r="L51">
        <f t="shared" si="9"/>
        <v>0</v>
      </c>
      <c r="O51" s="17"/>
    </row>
    <row r="52" spans="1:20" x14ac:dyDescent="0.25">
      <c r="A52" t="s">
        <v>38</v>
      </c>
      <c r="B52">
        <v>0</v>
      </c>
      <c r="C52">
        <f t="shared" si="9"/>
        <v>0</v>
      </c>
      <c r="D52">
        <f t="shared" si="9"/>
        <v>0</v>
      </c>
      <c r="E52">
        <f t="shared" si="9"/>
        <v>0</v>
      </c>
      <c r="F52">
        <f t="shared" si="9"/>
        <v>0</v>
      </c>
      <c r="G52">
        <f t="shared" si="9"/>
        <v>0</v>
      </c>
      <c r="H52">
        <f t="shared" si="9"/>
        <v>0</v>
      </c>
      <c r="I52">
        <f t="shared" si="9"/>
        <v>0</v>
      </c>
      <c r="J52">
        <f t="shared" si="9"/>
        <v>0</v>
      </c>
      <c r="K52">
        <f t="shared" si="9"/>
        <v>0</v>
      </c>
      <c r="L52">
        <f t="shared" si="9"/>
        <v>0</v>
      </c>
      <c r="O52" s="18"/>
    </row>
    <row r="53" spans="1:20" x14ac:dyDescent="0.25">
      <c r="O53" s="19"/>
    </row>
  </sheetData>
  <conditionalFormatting sqref="C18:L28 M28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2:L5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7 M28 B17:L28 B31:B5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8:M27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1:Z4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:AB28 P29 AA29:AB29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8:AA28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8:AB27 AA29 AB28:AB2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5:T45 C31:L4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:AB27 AA29 AB28:AB29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4C6F9-D3C6-4C35-84CE-77AE2DCA964C}">
  <dimension ref="A1:AF32"/>
  <sheetViews>
    <sheetView topLeftCell="S1" workbookViewId="0">
      <selection activeCell="O9" sqref="O9"/>
    </sheetView>
  </sheetViews>
  <sheetFormatPr defaultRowHeight="15" x14ac:dyDescent="0.25"/>
  <sheetData>
    <row r="1" spans="1:32" x14ac:dyDescent="0.25">
      <c r="B1" t="s">
        <v>47</v>
      </c>
      <c r="C1" t="s">
        <v>6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18</v>
      </c>
      <c r="L1" t="s">
        <v>20</v>
      </c>
      <c r="M1" t="s">
        <v>21</v>
      </c>
      <c r="N1" t="s">
        <v>22</v>
      </c>
      <c r="O1" t="s">
        <v>23</v>
      </c>
      <c r="P1" t="s">
        <v>24</v>
      </c>
      <c r="Q1" t="s">
        <v>26</v>
      </c>
      <c r="R1" t="s">
        <v>27</v>
      </c>
      <c r="S1" t="s">
        <v>28</v>
      </c>
      <c r="T1" t="s">
        <v>29</v>
      </c>
      <c r="U1" t="s">
        <v>30</v>
      </c>
      <c r="V1" t="s">
        <v>31</v>
      </c>
      <c r="W1" t="s">
        <v>32</v>
      </c>
      <c r="X1" t="s">
        <v>33</v>
      </c>
      <c r="Y1" t="s">
        <v>34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</row>
    <row r="2" spans="1:32" x14ac:dyDescent="0.25">
      <c r="A2" t="s">
        <v>47</v>
      </c>
      <c r="B2">
        <v>0</v>
      </c>
      <c r="C2" s="4">
        <v>1</v>
      </c>
      <c r="D2" s="4">
        <v>1</v>
      </c>
      <c r="E2" s="4">
        <v>1</v>
      </c>
      <c r="F2" s="4">
        <v>1</v>
      </c>
      <c r="G2" s="4">
        <v>1</v>
      </c>
      <c r="H2" s="4">
        <v>1</v>
      </c>
      <c r="I2" s="4">
        <v>1</v>
      </c>
      <c r="J2" s="4">
        <v>1</v>
      </c>
      <c r="K2" s="4">
        <v>1</v>
      </c>
      <c r="L2" s="4">
        <v>1</v>
      </c>
      <c r="M2" s="4">
        <v>1</v>
      </c>
      <c r="N2" s="4">
        <v>1</v>
      </c>
      <c r="O2" s="4">
        <v>1</v>
      </c>
      <c r="P2" s="4">
        <v>1</v>
      </c>
      <c r="Q2" s="4">
        <v>1</v>
      </c>
      <c r="R2" s="4">
        <v>1</v>
      </c>
      <c r="S2" s="4">
        <v>1</v>
      </c>
      <c r="T2" s="4">
        <v>1</v>
      </c>
      <c r="U2" s="4">
        <v>1</v>
      </c>
      <c r="V2" s="4">
        <v>1</v>
      </c>
      <c r="W2" s="4">
        <v>1</v>
      </c>
      <c r="X2" s="4">
        <v>1</v>
      </c>
      <c r="Y2" s="4">
        <v>1</v>
      </c>
      <c r="Z2" s="4">
        <v>1</v>
      </c>
      <c r="AA2" s="4">
        <v>1</v>
      </c>
      <c r="AB2" s="4">
        <v>1</v>
      </c>
      <c r="AC2" s="4">
        <v>1</v>
      </c>
      <c r="AD2" s="4">
        <v>1</v>
      </c>
      <c r="AE2" s="4">
        <v>1</v>
      </c>
      <c r="AF2" s="4">
        <v>1</v>
      </c>
    </row>
    <row r="3" spans="1:32" x14ac:dyDescent="0.25">
      <c r="A3" t="s">
        <v>6</v>
      </c>
      <c r="B3" s="4">
        <v>1</v>
      </c>
      <c r="C3" s="3">
        <f>IF(AND(VLOOKUP(C$1,test!$A$3:$G$32,5,FALSE)-VLOOKUP($A3,test!$A$3:$G$32,6,FALSE)&gt;=VLOOKUP(VLOOKUP(C$1, test!$A$3:$G$32,3,FALSE), test!$J$11:$K$14, 2, FALSE)/1440,VLOOKUP($A3,test!$A$3:$F$32,4,FALSE)=VLOOKUP(C$1,test!$A$3:$F$32,3,FALSE)),1,0)</f>
        <v>0</v>
      </c>
      <c r="D3" s="3">
        <f>IF(AND(VLOOKUP(D$1,test!$A$3:$G$32,5,FALSE)-VLOOKUP($A3,test!$A$3:$G$32,6,FALSE)&gt;=VLOOKUP(VLOOKUP(D$1, test!$A$3:$G$32,3,FALSE), test!$J$11:$K$14, 2, FALSE)/1440,VLOOKUP($A3,test!$A$3:$F$32,4,FALSE)=VLOOKUP(D$1,test!$A$3:$F$32,3,FALSE)),1,0)</f>
        <v>0</v>
      </c>
      <c r="E3" s="3">
        <f>IF(AND(VLOOKUP(E$1,test!$A$3:$G$32,5,FALSE)-VLOOKUP($A3,test!$A$3:$G$32,6,FALSE)&gt;=VLOOKUP(VLOOKUP(E$1, test!$A$3:$G$32,3,FALSE), test!$J$11:$K$14, 2, FALSE)/1440,VLOOKUP($A3,test!$A$3:$F$32,4,FALSE)=VLOOKUP(E$1,test!$A$3:$F$32,3,FALSE)),1,0)</f>
        <v>0</v>
      </c>
      <c r="F3" s="3">
        <f>IF(AND(VLOOKUP(F$1,test!$A$3:$G$32,5,FALSE)-VLOOKUP($A3,test!$A$3:$G$32,6,FALSE)&gt;=VLOOKUP(VLOOKUP(F$1, test!$A$3:$G$32,3,FALSE), test!$J$11:$K$14, 2, FALSE)/1440,VLOOKUP($A3,test!$A$3:$F$32,4,FALSE)=VLOOKUP(F$1,test!$A$3:$F$32,3,FALSE)),1,0)</f>
        <v>0</v>
      </c>
      <c r="G3" s="3">
        <f>IF(AND(VLOOKUP(G$1,test!$A$3:$G$32,5,FALSE)-VLOOKUP($A3,test!$A$3:$G$32,6,FALSE)&gt;=VLOOKUP(VLOOKUP(G$1, test!$A$3:$G$32,3,FALSE), test!$J$11:$K$14, 2, FALSE)/1440,VLOOKUP($A3,test!$A$3:$F$32,4,FALSE)=VLOOKUP(G$1,test!$A$3:$F$32,3,FALSE)),1,0)</f>
        <v>0</v>
      </c>
      <c r="H3" s="3">
        <f>IF(AND(VLOOKUP(H$1,test!$A$3:$G$32,5,FALSE)-VLOOKUP($A3,test!$A$3:$G$32,6,FALSE)&gt;=VLOOKUP(VLOOKUP(H$1, test!$A$3:$G$32,3,FALSE), test!$J$11:$K$14, 2, FALSE)/1440,VLOOKUP($A3,test!$A$3:$F$32,4,FALSE)=VLOOKUP(H$1,test!$A$3:$F$32,3,FALSE)),1,0)</f>
        <v>0</v>
      </c>
      <c r="I3" s="3">
        <f>IF(AND(VLOOKUP(I$1,test!$A$3:$G$32,5,FALSE)-VLOOKUP($A3,test!$A$3:$G$32,6,FALSE)&gt;=VLOOKUP(VLOOKUP(I$1, test!$A$3:$G$32,3,FALSE), test!$J$11:$K$14, 2, FALSE)/1440,VLOOKUP($A3,test!$A$3:$F$32,4,FALSE)=VLOOKUP(I$1,test!$A$3:$F$32,3,FALSE)),1,0)</f>
        <v>0</v>
      </c>
      <c r="J3" s="3">
        <f>IF(AND(VLOOKUP(J$1,test!$A$3:$G$32,5,FALSE)-VLOOKUP($A3,test!$A$3:$G$32,6,FALSE)&gt;=VLOOKUP(VLOOKUP(J$1, test!$A$3:$G$32,3,FALSE), test!$J$11:$K$14, 2, FALSE)/1440,VLOOKUP($A3,test!$A$3:$F$32,4,FALSE)=VLOOKUP(J$1,test!$A$3:$F$32,3,FALSE)),1,0)</f>
        <v>0</v>
      </c>
      <c r="K3" s="3">
        <f>IF(AND(VLOOKUP(K$1,test!$A$3:$G$32,5,FALSE)-VLOOKUP($A3,test!$A$3:$G$32,6,FALSE)&gt;=VLOOKUP(VLOOKUP(K$1, test!$A$3:$G$32,3,FALSE), test!$J$11:$K$14, 2, FALSE)/1440,VLOOKUP($A3,test!$A$3:$F$32,4,FALSE)=VLOOKUP(K$1,test!$A$3:$F$32,3,FALSE)),1,0)</f>
        <v>0</v>
      </c>
      <c r="L3" s="3">
        <f>IF(AND(VLOOKUP(L$1,test!$A$3:$G$32,5,FALSE)-VLOOKUP($A3,test!$A$3:$G$32,6,FALSE)&gt;=VLOOKUP(VLOOKUP(L$1, test!$A$3:$G$32,3,FALSE), test!$J$11:$K$14, 2, FALSE)/1440,VLOOKUP($A3,test!$A$3:$F$32,4,FALSE)=VLOOKUP(L$1,test!$A$3:$F$32,3,FALSE)),1,0)</f>
        <v>0</v>
      </c>
      <c r="M3" s="3">
        <f>IF(AND(VLOOKUP(M$1,test!$A$3:$G$32,5,FALSE)-VLOOKUP($A3,test!$A$3:$G$32,6,FALSE)&gt;=VLOOKUP(VLOOKUP(M$1, test!$A$3:$G$32,3,FALSE), test!$J$11:$K$14, 2, FALSE)/1440,VLOOKUP($A3,test!$A$3:$F$32,4,FALSE)=VLOOKUP(M$1,test!$A$3:$F$32,3,FALSE)),1,0)</f>
        <v>0</v>
      </c>
      <c r="N3" s="3">
        <f>IF(AND(VLOOKUP(N$1,test!$A$3:$G$32,5,FALSE)-VLOOKUP($A3,test!$A$3:$G$32,6,FALSE)&gt;=VLOOKUP(VLOOKUP(N$1, test!$A$3:$G$32,3,FALSE), test!$J$11:$K$14, 2, FALSE)/1440,VLOOKUP($A3,test!$A$3:$F$32,4,FALSE)=VLOOKUP(N$1,test!$A$3:$F$32,3,FALSE)),1,0)</f>
        <v>0</v>
      </c>
      <c r="O3" s="3">
        <f>IF(AND(VLOOKUP(O$1,test!$A$3:$G$32,5,FALSE)-VLOOKUP($A3,test!$A$3:$G$32,6,FALSE)&gt;=VLOOKUP(VLOOKUP(O$1, test!$A$3:$G$32,3,FALSE), test!$J$11:$K$14, 2, FALSE)/1440,VLOOKUP($A3,test!$A$3:$F$32,4,FALSE)=VLOOKUP(O$1,test!$A$3:$F$32,3,FALSE)),1,0)</f>
        <v>0</v>
      </c>
      <c r="P3" s="3">
        <f>IF(AND(VLOOKUP(P$1,test!$A$3:$G$32,5,FALSE)-VLOOKUP($A3,test!$A$3:$G$32,6,FALSE)&gt;=VLOOKUP(VLOOKUP(P$1, test!$A$3:$G$32,3,FALSE), test!$J$11:$K$14, 2, FALSE)/1440,VLOOKUP($A3,test!$A$3:$F$32,4,FALSE)=VLOOKUP(P$1,test!$A$3:$F$32,3,FALSE)),1,0)</f>
        <v>0</v>
      </c>
      <c r="Q3" s="3">
        <f>IF(AND(VLOOKUP(Q$1,test!$A$3:$G$32,5,FALSE)-VLOOKUP($A3,test!$A$3:$G$32,6,FALSE)&gt;=VLOOKUP(VLOOKUP(Q$1, test!$A$3:$G$32,3,FALSE), test!$J$11:$K$14, 2, FALSE)/1440,VLOOKUP($A3,test!$A$3:$F$32,4,FALSE)=VLOOKUP(Q$1,test!$A$3:$F$32,3,FALSE)),1,0)</f>
        <v>0</v>
      </c>
      <c r="R3" s="3">
        <f>IF(AND(VLOOKUP(R$1,test!$A$3:$G$32,5,FALSE)-VLOOKUP($A3,test!$A$3:$G$32,6,FALSE)&gt;=VLOOKUP(VLOOKUP(R$1, test!$A$3:$G$32,3,FALSE), test!$J$11:$K$14, 2, FALSE)/1440,VLOOKUP($A3,test!$A$3:$F$32,4,FALSE)=VLOOKUP(R$1,test!$A$3:$F$32,3,FALSE)),1,0)</f>
        <v>0</v>
      </c>
      <c r="S3" s="3">
        <f>IF(AND(VLOOKUP(S$1,test!$A$3:$G$32,5,FALSE)-VLOOKUP($A3,test!$A$3:$G$32,6,FALSE)&gt;=VLOOKUP(VLOOKUP(S$1, test!$A$3:$G$32,3,FALSE), test!$J$11:$K$14, 2, FALSE)/1440,VLOOKUP($A3,test!$A$3:$F$32,4,FALSE)=VLOOKUP(S$1,test!$A$3:$F$32,3,FALSE)),1,0)</f>
        <v>1</v>
      </c>
      <c r="T3" s="3">
        <f>IF(AND(VLOOKUP(T$1,test!$A$3:$G$32,5,FALSE)-VLOOKUP($A3,test!$A$3:$G$32,6,FALSE)&gt;=VLOOKUP(VLOOKUP(T$1, test!$A$3:$G$32,3,FALSE), test!$J$11:$K$14, 2, FALSE)/1440,VLOOKUP($A3,test!$A$3:$F$32,4,FALSE)=VLOOKUP(T$1,test!$A$3:$F$32,3,FALSE)),1,0)</f>
        <v>1</v>
      </c>
      <c r="U3" s="3">
        <f>IF(AND(VLOOKUP(U$1,test!$A$3:$G$32,5,FALSE)-VLOOKUP($A3,test!$A$3:$G$32,6,FALSE)&gt;=VLOOKUP(VLOOKUP(U$1, test!$A$3:$G$32,3,FALSE), test!$J$11:$K$14, 2, FALSE)/1440,VLOOKUP($A3,test!$A$3:$F$32,4,FALSE)=VLOOKUP(U$1,test!$A$3:$F$32,3,FALSE)),1,0)</f>
        <v>1</v>
      </c>
      <c r="V3" s="3">
        <f>IF(AND(VLOOKUP(V$1,test!$A$3:$G$32,5,FALSE)-VLOOKUP($A3,test!$A$3:$G$32,6,FALSE)&gt;=VLOOKUP(VLOOKUP(V$1, test!$A$3:$G$32,3,FALSE), test!$J$11:$K$14, 2, FALSE)/1440,VLOOKUP($A3,test!$A$3:$F$32,4,FALSE)=VLOOKUP(V$1,test!$A$3:$F$32,3,FALSE)),1,0)</f>
        <v>1</v>
      </c>
      <c r="W3" s="3">
        <f>IF(AND(VLOOKUP(W$1,test!$A$3:$G$32,5,FALSE)-VLOOKUP($A3,test!$A$3:$G$32,6,FALSE)&gt;=VLOOKUP(VLOOKUP(W$1, test!$A$3:$G$32,3,FALSE), test!$J$11:$K$14, 2, FALSE)/1440,VLOOKUP($A3,test!$A$3:$F$32,4,FALSE)=VLOOKUP(W$1,test!$A$3:$F$32,3,FALSE)),1,0)</f>
        <v>1</v>
      </c>
      <c r="X3" s="3">
        <f>IF(AND(VLOOKUP(X$1,test!$A$3:$G$32,5,FALSE)-VLOOKUP($A3,test!$A$3:$G$32,6,FALSE)&gt;=VLOOKUP(VLOOKUP(X$1, test!$A$3:$G$32,3,FALSE), test!$J$11:$K$14, 2, FALSE)/1440,VLOOKUP($A3,test!$A$3:$F$32,4,FALSE)=VLOOKUP(X$1,test!$A$3:$F$32,3,FALSE)),1,0)</f>
        <v>1</v>
      </c>
      <c r="Y3" s="3">
        <f>IF(AND(VLOOKUP(Y$1,test!$A$3:$G$32,5,FALSE)-VLOOKUP($A3,test!$A$3:$G$32,6,FALSE)&gt;=VLOOKUP(VLOOKUP(Y$1, test!$A$3:$G$32,3,FALSE), test!$J$11:$K$14, 2, FALSE)/1440,VLOOKUP($A3,test!$A$3:$F$32,4,FALSE)=VLOOKUP(Y$1,test!$A$3:$F$32,3,FALSE)),1,0)</f>
        <v>0</v>
      </c>
      <c r="Z3" s="3">
        <f>IF(AND(VLOOKUP(Z$1,test!$A$3:$G$32,5,FALSE)-VLOOKUP($A3,test!$A$3:$G$32,6,FALSE)&gt;=VLOOKUP(VLOOKUP(Z$1, test!$A$3:$G$32,3,FALSE), test!$J$11:$K$14, 2, FALSE)/1440,VLOOKUP($A3,test!$A$3:$F$32,4,FALSE)=VLOOKUP(Z$1,test!$A$3:$F$32,3,FALSE)),1,0)</f>
        <v>0</v>
      </c>
      <c r="AA3" s="3">
        <f>IF(AND(VLOOKUP(AA$1,test!$A$3:$G$32,5,FALSE)-VLOOKUP($A3,test!$A$3:$G$32,6,FALSE)&gt;=VLOOKUP(VLOOKUP(AA$1, test!$A$3:$G$32,3,FALSE), test!$J$11:$K$14, 2, FALSE)/1440,VLOOKUP($A3,test!$A$3:$F$32,4,FALSE)=VLOOKUP(AA$1,test!$A$3:$F$32,3,FALSE)),1,0)</f>
        <v>0</v>
      </c>
      <c r="AB3" s="3">
        <f>IF(AND(VLOOKUP(AB$1,test!$A$3:$G$32,5,FALSE)-VLOOKUP($A3,test!$A$3:$G$32,6,FALSE)&gt;=VLOOKUP(VLOOKUP(AB$1, test!$A$3:$G$32,3,FALSE), test!$J$11:$K$14, 2, FALSE)/1440,VLOOKUP($A3,test!$A$3:$F$32,4,FALSE)=VLOOKUP(AB$1,test!$A$3:$F$32,3,FALSE)),1,0)</f>
        <v>0</v>
      </c>
      <c r="AC3" s="3">
        <f>IF(AND(VLOOKUP(AC$1,test!$A$3:$G$32,5,FALSE)-VLOOKUP($A3,test!$A$3:$G$32,6,FALSE)&gt;=VLOOKUP(VLOOKUP(AC$1, test!$A$3:$G$32,3,FALSE), test!$J$11:$K$14, 2, FALSE)/1440,VLOOKUP($A3,test!$A$3:$F$32,4,FALSE)=VLOOKUP(AC$1,test!$A$3:$F$32,3,FALSE)),1,0)</f>
        <v>0</v>
      </c>
      <c r="AD3" s="3">
        <f>IF(AND(VLOOKUP(AD$1,test!$A$3:$G$32,5,FALSE)-VLOOKUP($A3,test!$A$3:$G$32,6,FALSE)&gt;=VLOOKUP(VLOOKUP(AD$1, test!$A$3:$G$32,3,FALSE), test!$J$11:$K$14, 2, FALSE)/1440,VLOOKUP($A3,test!$A$3:$F$32,4,FALSE)=VLOOKUP(AD$1,test!$A$3:$F$32,3,FALSE)),1,0)</f>
        <v>0</v>
      </c>
      <c r="AE3" s="3">
        <f>IF(AND(VLOOKUP(AE$1,test!$A$3:$G$32,5,FALSE)-VLOOKUP($A3,test!$A$3:$G$32,6,FALSE)&gt;=VLOOKUP(VLOOKUP(AE$1, test!$A$3:$G$32,3,FALSE), test!$J$11:$K$14, 2, FALSE)/1440,VLOOKUP($A3,test!$A$3:$F$32,4,FALSE)=VLOOKUP(AE$1,test!$A$3:$F$32,3,FALSE)),1,0)</f>
        <v>0</v>
      </c>
      <c r="AF3" s="3">
        <f>IF(AND(VLOOKUP(AF$1,test!$A$3:$G$32,5,FALSE)-VLOOKUP($A3,test!$A$3:$G$32,6,FALSE)&gt;=VLOOKUP(VLOOKUP(AF$1, test!$A$3:$G$32,3,FALSE), test!$J$11:$K$14, 2, FALSE)/1440,VLOOKUP($A3,test!$A$3:$F$32,4,FALSE)=VLOOKUP(AF$1,test!$A$3:$F$32,3,FALSE)),1,0)</f>
        <v>0</v>
      </c>
    </row>
    <row r="4" spans="1:32" x14ac:dyDescent="0.25">
      <c r="A4" t="s">
        <v>9</v>
      </c>
      <c r="B4" s="4">
        <v>1</v>
      </c>
      <c r="C4" s="3">
        <f>IF(AND(VLOOKUP(C$1,test!$A$3:$G$32,5,FALSE)-VLOOKUP($A4,test!$A$3:$G$32,6,FALSE)&gt;=VLOOKUP(VLOOKUP(C$1, test!$A$3:$G$32,3,FALSE), test!$J$11:$K$14, 2, FALSE)/1440,VLOOKUP($A4,test!$A$3:$F$32,4,FALSE)=VLOOKUP(C$1,test!$A$3:$F$32,3,FALSE)),1,0)</f>
        <v>0</v>
      </c>
      <c r="D4" s="3">
        <f>IF(AND(VLOOKUP(D$1,test!$A$3:$G$32,5,FALSE)-VLOOKUP($A4,test!$A$3:$G$32,6,FALSE)&gt;=VLOOKUP(VLOOKUP(D$1, test!$A$3:$G$32,3,FALSE), test!$J$11:$K$14, 2, FALSE)/1440,VLOOKUP($A4,test!$A$3:$F$32,4,FALSE)=VLOOKUP(D$1,test!$A$3:$F$32,3,FALSE)),1,0)</f>
        <v>0</v>
      </c>
      <c r="E4" s="3">
        <f>IF(AND(VLOOKUP(E$1,test!$A$3:$G$32,5,FALSE)-VLOOKUP($A4,test!$A$3:$G$32,6,FALSE)&gt;=VLOOKUP(VLOOKUP(E$1, test!$A$3:$G$32,3,FALSE), test!$J$11:$K$14, 2, FALSE)/1440,VLOOKUP($A4,test!$A$3:$F$32,4,FALSE)=VLOOKUP(E$1,test!$A$3:$F$32,3,FALSE)),1,0)</f>
        <v>0</v>
      </c>
      <c r="F4" s="3">
        <f>IF(AND(VLOOKUP(F$1,test!$A$3:$G$32,5,FALSE)-VLOOKUP($A4,test!$A$3:$G$32,6,FALSE)&gt;=VLOOKUP(VLOOKUP(F$1, test!$A$3:$G$32,3,FALSE), test!$J$11:$K$14, 2, FALSE)/1440,VLOOKUP($A4,test!$A$3:$F$32,4,FALSE)=VLOOKUP(F$1,test!$A$3:$F$32,3,FALSE)),1,0)</f>
        <v>0</v>
      </c>
      <c r="G4" s="3">
        <f>IF(AND(VLOOKUP(G$1,test!$A$3:$G$32,5,FALSE)-VLOOKUP($A4,test!$A$3:$G$32,6,FALSE)&gt;=VLOOKUP(VLOOKUP(G$1, test!$A$3:$G$32,3,FALSE), test!$J$11:$K$14, 2, FALSE)/1440,VLOOKUP($A4,test!$A$3:$F$32,4,FALSE)=VLOOKUP(G$1,test!$A$3:$F$32,3,FALSE)),1,0)</f>
        <v>0</v>
      </c>
      <c r="H4" s="3">
        <f>IF(AND(VLOOKUP(H$1,test!$A$3:$G$32,5,FALSE)-VLOOKUP($A4,test!$A$3:$G$32,6,FALSE)&gt;=VLOOKUP(VLOOKUP(H$1, test!$A$3:$G$32,3,FALSE), test!$J$11:$K$14, 2, FALSE)/1440,VLOOKUP($A4,test!$A$3:$F$32,4,FALSE)=VLOOKUP(H$1,test!$A$3:$F$32,3,FALSE)),1,0)</f>
        <v>0</v>
      </c>
      <c r="I4" s="3">
        <f>IF(AND(VLOOKUP(I$1,test!$A$3:$G$32,5,FALSE)-VLOOKUP($A4,test!$A$3:$G$32,6,FALSE)&gt;=VLOOKUP(VLOOKUP(I$1, test!$A$3:$G$32,3,FALSE), test!$J$11:$K$14, 2, FALSE)/1440,VLOOKUP($A4,test!$A$3:$F$32,4,FALSE)=VLOOKUP(I$1,test!$A$3:$F$32,3,FALSE)),1,0)</f>
        <v>0</v>
      </c>
      <c r="J4" s="3">
        <f>IF(AND(VLOOKUP(J$1,test!$A$3:$G$32,5,FALSE)-VLOOKUP($A4,test!$A$3:$G$32,6,FALSE)&gt;=VLOOKUP(VLOOKUP(J$1, test!$A$3:$G$32,3,FALSE), test!$J$11:$K$14, 2, FALSE)/1440,VLOOKUP($A4,test!$A$3:$F$32,4,FALSE)=VLOOKUP(J$1,test!$A$3:$F$32,3,FALSE)),1,0)</f>
        <v>0</v>
      </c>
      <c r="K4" s="3">
        <f>IF(AND(VLOOKUP(K$1,test!$A$3:$G$32,5,FALSE)-VLOOKUP($A4,test!$A$3:$G$32,6,FALSE)&gt;=VLOOKUP(VLOOKUP(K$1, test!$A$3:$G$32,3,FALSE), test!$J$11:$K$14, 2, FALSE)/1440,VLOOKUP($A4,test!$A$3:$F$32,4,FALSE)=VLOOKUP(K$1,test!$A$3:$F$32,3,FALSE)),1,0)</f>
        <v>0</v>
      </c>
      <c r="L4" s="3">
        <f>IF(AND(VLOOKUP(L$1,test!$A$3:$G$32,5,FALSE)-VLOOKUP($A4,test!$A$3:$G$32,6,FALSE)&gt;=VLOOKUP(VLOOKUP(L$1, test!$A$3:$G$32,3,FALSE), test!$J$11:$K$14, 2, FALSE)/1440,VLOOKUP($A4,test!$A$3:$F$32,4,FALSE)=VLOOKUP(L$1,test!$A$3:$F$32,3,FALSE)),1,0)</f>
        <v>0</v>
      </c>
      <c r="M4" s="3">
        <f>IF(AND(VLOOKUP(M$1,test!$A$3:$G$32,5,FALSE)-VLOOKUP($A4,test!$A$3:$G$32,6,FALSE)&gt;=VLOOKUP(VLOOKUP(M$1, test!$A$3:$G$32,3,FALSE), test!$J$11:$K$14, 2, FALSE)/1440,VLOOKUP($A4,test!$A$3:$F$32,4,FALSE)=VLOOKUP(M$1,test!$A$3:$F$32,3,FALSE)),1,0)</f>
        <v>0</v>
      </c>
      <c r="N4" s="3">
        <f>IF(AND(VLOOKUP(N$1,test!$A$3:$G$32,5,FALSE)-VLOOKUP($A4,test!$A$3:$G$32,6,FALSE)&gt;=VLOOKUP(VLOOKUP(N$1, test!$A$3:$G$32,3,FALSE), test!$J$11:$K$14, 2, FALSE)/1440,VLOOKUP($A4,test!$A$3:$F$32,4,FALSE)=VLOOKUP(N$1,test!$A$3:$F$32,3,FALSE)),1,0)</f>
        <v>0</v>
      </c>
      <c r="O4" s="3">
        <f>IF(AND(VLOOKUP(O$1,test!$A$3:$G$32,5,FALSE)-VLOOKUP($A4,test!$A$3:$G$32,6,FALSE)&gt;=VLOOKUP(VLOOKUP(O$1, test!$A$3:$G$32,3,FALSE), test!$J$11:$K$14, 2, FALSE)/1440,VLOOKUP($A4,test!$A$3:$F$32,4,FALSE)=VLOOKUP(O$1,test!$A$3:$F$32,3,FALSE)),1,0)</f>
        <v>0</v>
      </c>
      <c r="P4" s="3">
        <f>IF(AND(VLOOKUP(P$1,test!$A$3:$G$32,5,FALSE)-VLOOKUP($A4,test!$A$3:$G$32,6,FALSE)&gt;=VLOOKUP(VLOOKUP(P$1, test!$A$3:$G$32,3,FALSE), test!$J$11:$K$14, 2, FALSE)/1440,VLOOKUP($A4,test!$A$3:$F$32,4,FALSE)=VLOOKUP(P$1,test!$A$3:$F$32,3,FALSE)),1,0)</f>
        <v>0</v>
      </c>
      <c r="Q4" s="3">
        <f>IF(AND(VLOOKUP(Q$1,test!$A$3:$G$32,5,FALSE)-VLOOKUP($A4,test!$A$3:$G$32,6,FALSE)&gt;=VLOOKUP(VLOOKUP(Q$1, test!$A$3:$G$32,3,FALSE), test!$J$11:$K$14, 2, FALSE)/1440,VLOOKUP($A4,test!$A$3:$F$32,4,FALSE)=VLOOKUP(Q$1,test!$A$3:$F$32,3,FALSE)),1,0)</f>
        <v>0</v>
      </c>
      <c r="R4" s="3">
        <f>IF(AND(VLOOKUP(R$1,test!$A$3:$G$32,5,FALSE)-VLOOKUP($A4,test!$A$3:$G$32,6,FALSE)&gt;=VLOOKUP(VLOOKUP(R$1, test!$A$3:$G$32,3,FALSE), test!$J$11:$K$14, 2, FALSE)/1440,VLOOKUP($A4,test!$A$3:$F$32,4,FALSE)=VLOOKUP(R$1,test!$A$3:$F$32,3,FALSE)),1,0)</f>
        <v>0</v>
      </c>
      <c r="S4" s="3">
        <f>IF(AND(VLOOKUP(S$1,test!$A$3:$G$32,5,FALSE)-VLOOKUP($A4,test!$A$3:$G$32,6,FALSE)&gt;=VLOOKUP(VLOOKUP(S$1, test!$A$3:$G$32,3,FALSE), test!$J$11:$K$14, 2, FALSE)/1440,VLOOKUP($A4,test!$A$3:$F$32,4,FALSE)=VLOOKUP(S$1,test!$A$3:$F$32,3,FALSE)),1,0)</f>
        <v>0</v>
      </c>
      <c r="T4" s="3">
        <f>IF(AND(VLOOKUP(T$1,test!$A$3:$G$32,5,FALSE)-VLOOKUP($A4,test!$A$3:$G$32,6,FALSE)&gt;=VLOOKUP(VLOOKUP(T$1, test!$A$3:$G$32,3,FALSE), test!$J$11:$K$14, 2, FALSE)/1440,VLOOKUP($A4,test!$A$3:$F$32,4,FALSE)=VLOOKUP(T$1,test!$A$3:$F$32,3,FALSE)),1,0)</f>
        <v>0</v>
      </c>
      <c r="U4" s="3">
        <f>IF(AND(VLOOKUP(U$1,test!$A$3:$G$32,5,FALSE)-VLOOKUP($A4,test!$A$3:$G$32,6,FALSE)&gt;=VLOOKUP(VLOOKUP(U$1, test!$A$3:$G$32,3,FALSE), test!$J$11:$K$14, 2, FALSE)/1440,VLOOKUP($A4,test!$A$3:$F$32,4,FALSE)=VLOOKUP(U$1,test!$A$3:$F$32,3,FALSE)),1,0)</f>
        <v>1</v>
      </c>
      <c r="V4" s="3">
        <f>IF(AND(VLOOKUP(V$1,test!$A$3:$G$32,5,FALSE)-VLOOKUP($A4,test!$A$3:$G$32,6,FALSE)&gt;=VLOOKUP(VLOOKUP(V$1, test!$A$3:$G$32,3,FALSE), test!$J$11:$K$14, 2, FALSE)/1440,VLOOKUP($A4,test!$A$3:$F$32,4,FALSE)=VLOOKUP(V$1,test!$A$3:$F$32,3,FALSE)),1,0)</f>
        <v>1</v>
      </c>
      <c r="W4" s="3">
        <f>IF(AND(VLOOKUP(W$1,test!$A$3:$G$32,5,FALSE)-VLOOKUP($A4,test!$A$3:$G$32,6,FALSE)&gt;=VLOOKUP(VLOOKUP(W$1, test!$A$3:$G$32,3,FALSE), test!$J$11:$K$14, 2, FALSE)/1440,VLOOKUP($A4,test!$A$3:$F$32,4,FALSE)=VLOOKUP(W$1,test!$A$3:$F$32,3,FALSE)),1,0)</f>
        <v>1</v>
      </c>
      <c r="X4" s="3">
        <f>IF(AND(VLOOKUP(X$1,test!$A$3:$G$32,5,FALSE)-VLOOKUP($A4,test!$A$3:$G$32,6,FALSE)&gt;=VLOOKUP(VLOOKUP(X$1, test!$A$3:$G$32,3,FALSE), test!$J$11:$K$14, 2, FALSE)/1440,VLOOKUP($A4,test!$A$3:$F$32,4,FALSE)=VLOOKUP(X$1,test!$A$3:$F$32,3,FALSE)),1,0)</f>
        <v>1</v>
      </c>
      <c r="Y4" s="3">
        <f>IF(AND(VLOOKUP(Y$1,test!$A$3:$G$32,5,FALSE)-VLOOKUP($A4,test!$A$3:$G$32,6,FALSE)&gt;=VLOOKUP(VLOOKUP(Y$1, test!$A$3:$G$32,3,FALSE), test!$J$11:$K$14, 2, FALSE)/1440,VLOOKUP($A4,test!$A$3:$F$32,4,FALSE)=VLOOKUP(Y$1,test!$A$3:$F$32,3,FALSE)),1,0)</f>
        <v>0</v>
      </c>
      <c r="Z4" s="3">
        <f>IF(AND(VLOOKUP(Z$1,test!$A$3:$G$32,5,FALSE)-VLOOKUP($A4,test!$A$3:$G$32,6,FALSE)&gt;=VLOOKUP(VLOOKUP(Z$1, test!$A$3:$G$32,3,FALSE), test!$J$11:$K$14, 2, FALSE)/1440,VLOOKUP($A4,test!$A$3:$F$32,4,FALSE)=VLOOKUP(Z$1,test!$A$3:$F$32,3,FALSE)),1,0)</f>
        <v>0</v>
      </c>
      <c r="AA4" s="3">
        <f>IF(AND(VLOOKUP(AA$1,test!$A$3:$G$32,5,FALSE)-VLOOKUP($A4,test!$A$3:$G$32,6,FALSE)&gt;=VLOOKUP(VLOOKUP(AA$1, test!$A$3:$G$32,3,FALSE), test!$J$11:$K$14, 2, FALSE)/1440,VLOOKUP($A4,test!$A$3:$F$32,4,FALSE)=VLOOKUP(AA$1,test!$A$3:$F$32,3,FALSE)),1,0)</f>
        <v>0</v>
      </c>
      <c r="AB4" s="3">
        <f>IF(AND(VLOOKUP(AB$1,test!$A$3:$G$32,5,FALSE)-VLOOKUP($A4,test!$A$3:$G$32,6,FALSE)&gt;=VLOOKUP(VLOOKUP(AB$1, test!$A$3:$G$32,3,FALSE), test!$J$11:$K$14, 2, FALSE)/1440,VLOOKUP($A4,test!$A$3:$F$32,4,FALSE)=VLOOKUP(AB$1,test!$A$3:$F$32,3,FALSE)),1,0)</f>
        <v>0</v>
      </c>
      <c r="AC4" s="3">
        <f>IF(AND(VLOOKUP(AC$1,test!$A$3:$G$32,5,FALSE)-VLOOKUP($A4,test!$A$3:$G$32,6,FALSE)&gt;=VLOOKUP(VLOOKUP(AC$1, test!$A$3:$G$32,3,FALSE), test!$J$11:$K$14, 2, FALSE)/1440,VLOOKUP($A4,test!$A$3:$F$32,4,FALSE)=VLOOKUP(AC$1,test!$A$3:$F$32,3,FALSE)),1,0)</f>
        <v>0</v>
      </c>
      <c r="AD4" s="3">
        <f>IF(AND(VLOOKUP(AD$1,test!$A$3:$G$32,5,FALSE)-VLOOKUP($A4,test!$A$3:$G$32,6,FALSE)&gt;=VLOOKUP(VLOOKUP(AD$1, test!$A$3:$G$32,3,FALSE), test!$J$11:$K$14, 2, FALSE)/1440,VLOOKUP($A4,test!$A$3:$F$32,4,FALSE)=VLOOKUP(AD$1,test!$A$3:$F$32,3,FALSE)),1,0)</f>
        <v>0</v>
      </c>
      <c r="AE4" s="3">
        <f>IF(AND(VLOOKUP(AE$1,test!$A$3:$G$32,5,FALSE)-VLOOKUP($A4,test!$A$3:$G$32,6,FALSE)&gt;=VLOOKUP(VLOOKUP(AE$1, test!$A$3:$G$32,3,FALSE), test!$J$11:$K$14, 2, FALSE)/1440,VLOOKUP($A4,test!$A$3:$F$32,4,FALSE)=VLOOKUP(AE$1,test!$A$3:$F$32,3,FALSE)),1,0)</f>
        <v>0</v>
      </c>
      <c r="AF4" s="3">
        <f>IF(AND(VLOOKUP(AF$1,test!$A$3:$G$32,5,FALSE)-VLOOKUP($A4,test!$A$3:$G$32,6,FALSE)&gt;=VLOOKUP(VLOOKUP(AF$1, test!$A$3:$G$32,3,FALSE), test!$J$11:$K$14, 2, FALSE)/1440,VLOOKUP($A4,test!$A$3:$F$32,4,FALSE)=VLOOKUP(AF$1,test!$A$3:$F$32,3,FALSE)),1,0)</f>
        <v>0</v>
      </c>
    </row>
    <row r="5" spans="1:32" x14ac:dyDescent="0.25">
      <c r="A5" t="s">
        <v>10</v>
      </c>
      <c r="B5" s="4">
        <v>1</v>
      </c>
      <c r="C5" s="3">
        <f>IF(AND(VLOOKUP(C$1,test!$A$3:$G$32,5,FALSE)-VLOOKUP($A5,test!$A$3:$G$32,6,FALSE)&gt;=VLOOKUP(VLOOKUP(C$1, test!$A$3:$G$32,3,FALSE), test!$J$11:$K$14, 2, FALSE)/1440,VLOOKUP($A5,test!$A$3:$F$32,4,FALSE)=VLOOKUP(C$1,test!$A$3:$F$32,3,FALSE)),1,0)</f>
        <v>0</v>
      </c>
      <c r="D5" s="3">
        <f>IF(AND(VLOOKUP(D$1,test!$A$3:$G$32,5,FALSE)-VLOOKUP($A5,test!$A$3:$G$32,6,FALSE)&gt;=VLOOKUP(VLOOKUP(D$1, test!$A$3:$G$32,3,FALSE), test!$J$11:$K$14, 2, FALSE)/1440,VLOOKUP($A5,test!$A$3:$F$32,4,FALSE)=VLOOKUP(D$1,test!$A$3:$F$32,3,FALSE)),1,0)</f>
        <v>0</v>
      </c>
      <c r="E5" s="3">
        <f>IF(AND(VLOOKUP(E$1,test!$A$3:$G$32,5,FALSE)-VLOOKUP($A5,test!$A$3:$G$32,6,FALSE)&gt;=VLOOKUP(VLOOKUP(E$1, test!$A$3:$G$32,3,FALSE), test!$J$11:$K$14, 2, FALSE)/1440,VLOOKUP($A5,test!$A$3:$F$32,4,FALSE)=VLOOKUP(E$1,test!$A$3:$F$32,3,FALSE)),1,0)</f>
        <v>0</v>
      </c>
      <c r="F5" s="3">
        <f>IF(AND(VLOOKUP(F$1,test!$A$3:$G$32,5,FALSE)-VLOOKUP($A5,test!$A$3:$G$32,6,FALSE)&gt;=VLOOKUP(VLOOKUP(F$1, test!$A$3:$G$32,3,FALSE), test!$J$11:$K$14, 2, FALSE)/1440,VLOOKUP($A5,test!$A$3:$F$32,4,FALSE)=VLOOKUP(F$1,test!$A$3:$F$32,3,FALSE)),1,0)</f>
        <v>0</v>
      </c>
      <c r="G5" s="3">
        <f>IF(AND(VLOOKUP(G$1,test!$A$3:$G$32,5,FALSE)-VLOOKUP($A5,test!$A$3:$G$32,6,FALSE)&gt;=VLOOKUP(VLOOKUP(G$1, test!$A$3:$G$32,3,FALSE), test!$J$11:$K$14, 2, FALSE)/1440,VLOOKUP($A5,test!$A$3:$F$32,4,FALSE)=VLOOKUP(G$1,test!$A$3:$F$32,3,FALSE)),1,0)</f>
        <v>0</v>
      </c>
      <c r="H5" s="3">
        <f>IF(AND(VLOOKUP(H$1,test!$A$3:$G$32,5,FALSE)-VLOOKUP($A5,test!$A$3:$G$32,6,FALSE)&gt;=VLOOKUP(VLOOKUP(H$1, test!$A$3:$G$32,3,FALSE), test!$J$11:$K$14, 2, FALSE)/1440,VLOOKUP($A5,test!$A$3:$F$32,4,FALSE)=VLOOKUP(H$1,test!$A$3:$F$32,3,FALSE)),1,0)</f>
        <v>0</v>
      </c>
      <c r="I5" s="3">
        <f>IF(AND(VLOOKUP(I$1,test!$A$3:$G$32,5,FALSE)-VLOOKUP($A5,test!$A$3:$G$32,6,FALSE)&gt;=VLOOKUP(VLOOKUP(I$1, test!$A$3:$G$32,3,FALSE), test!$J$11:$K$14, 2, FALSE)/1440,VLOOKUP($A5,test!$A$3:$F$32,4,FALSE)=VLOOKUP(I$1,test!$A$3:$F$32,3,FALSE)),1,0)</f>
        <v>0</v>
      </c>
      <c r="J5" s="3">
        <f>IF(AND(VLOOKUP(J$1,test!$A$3:$G$32,5,FALSE)-VLOOKUP($A5,test!$A$3:$G$32,6,FALSE)&gt;=VLOOKUP(VLOOKUP(J$1, test!$A$3:$G$32,3,FALSE), test!$J$11:$K$14, 2, FALSE)/1440,VLOOKUP($A5,test!$A$3:$F$32,4,FALSE)=VLOOKUP(J$1,test!$A$3:$F$32,3,FALSE)),1,0)</f>
        <v>0</v>
      </c>
      <c r="K5" s="3">
        <f>IF(AND(VLOOKUP(K$1,test!$A$3:$G$32,5,FALSE)-VLOOKUP($A5,test!$A$3:$G$32,6,FALSE)&gt;=VLOOKUP(VLOOKUP(K$1, test!$A$3:$G$32,3,FALSE), test!$J$11:$K$14, 2, FALSE)/1440,VLOOKUP($A5,test!$A$3:$F$32,4,FALSE)=VLOOKUP(K$1,test!$A$3:$F$32,3,FALSE)),1,0)</f>
        <v>0</v>
      </c>
      <c r="L5" s="3">
        <f>IF(AND(VLOOKUP(L$1,test!$A$3:$G$32,5,FALSE)-VLOOKUP($A5,test!$A$3:$G$32,6,FALSE)&gt;=VLOOKUP(VLOOKUP(L$1, test!$A$3:$G$32,3,FALSE), test!$J$11:$K$14, 2, FALSE)/1440,VLOOKUP($A5,test!$A$3:$F$32,4,FALSE)=VLOOKUP(L$1,test!$A$3:$F$32,3,FALSE)),1,0)</f>
        <v>0</v>
      </c>
      <c r="M5" s="3">
        <f>IF(AND(VLOOKUP(M$1,test!$A$3:$G$32,5,FALSE)-VLOOKUP($A5,test!$A$3:$G$32,6,FALSE)&gt;=VLOOKUP(VLOOKUP(M$1, test!$A$3:$G$32,3,FALSE), test!$J$11:$K$14, 2, FALSE)/1440,VLOOKUP($A5,test!$A$3:$F$32,4,FALSE)=VLOOKUP(M$1,test!$A$3:$F$32,3,FALSE)),1,0)</f>
        <v>0</v>
      </c>
      <c r="N5" s="3">
        <f>IF(AND(VLOOKUP(N$1,test!$A$3:$G$32,5,FALSE)-VLOOKUP($A5,test!$A$3:$G$32,6,FALSE)&gt;=VLOOKUP(VLOOKUP(N$1, test!$A$3:$G$32,3,FALSE), test!$J$11:$K$14, 2, FALSE)/1440,VLOOKUP($A5,test!$A$3:$F$32,4,FALSE)=VLOOKUP(N$1,test!$A$3:$F$32,3,FALSE)),1,0)</f>
        <v>0</v>
      </c>
      <c r="O5" s="3">
        <f>IF(AND(VLOOKUP(O$1,test!$A$3:$G$32,5,FALSE)-VLOOKUP($A5,test!$A$3:$G$32,6,FALSE)&gt;=VLOOKUP(VLOOKUP(O$1, test!$A$3:$G$32,3,FALSE), test!$J$11:$K$14, 2, FALSE)/1440,VLOOKUP($A5,test!$A$3:$F$32,4,FALSE)=VLOOKUP(O$1,test!$A$3:$F$32,3,FALSE)),1,0)</f>
        <v>0</v>
      </c>
      <c r="P5" s="3">
        <f>IF(AND(VLOOKUP(P$1,test!$A$3:$G$32,5,FALSE)-VLOOKUP($A5,test!$A$3:$G$32,6,FALSE)&gt;=VLOOKUP(VLOOKUP(P$1, test!$A$3:$G$32,3,FALSE), test!$J$11:$K$14, 2, FALSE)/1440,VLOOKUP($A5,test!$A$3:$F$32,4,FALSE)=VLOOKUP(P$1,test!$A$3:$F$32,3,FALSE)),1,0)</f>
        <v>0</v>
      </c>
      <c r="Q5" s="3">
        <f>IF(AND(VLOOKUP(Q$1,test!$A$3:$G$32,5,FALSE)-VLOOKUP($A5,test!$A$3:$G$32,6,FALSE)&gt;=VLOOKUP(VLOOKUP(Q$1, test!$A$3:$G$32,3,FALSE), test!$J$11:$K$14, 2, FALSE)/1440,VLOOKUP($A5,test!$A$3:$F$32,4,FALSE)=VLOOKUP(Q$1,test!$A$3:$F$32,3,FALSE)),1,0)</f>
        <v>0</v>
      </c>
      <c r="R5" s="3">
        <f>IF(AND(VLOOKUP(R$1,test!$A$3:$G$32,5,FALSE)-VLOOKUP($A5,test!$A$3:$G$32,6,FALSE)&gt;=VLOOKUP(VLOOKUP(R$1, test!$A$3:$G$32,3,FALSE), test!$J$11:$K$14, 2, FALSE)/1440,VLOOKUP($A5,test!$A$3:$F$32,4,FALSE)=VLOOKUP(R$1,test!$A$3:$F$32,3,FALSE)),1,0)</f>
        <v>0</v>
      </c>
      <c r="S5" s="3">
        <f>IF(AND(VLOOKUP(S$1,test!$A$3:$G$32,5,FALSE)-VLOOKUP($A5,test!$A$3:$G$32,6,FALSE)&gt;=VLOOKUP(VLOOKUP(S$1, test!$A$3:$G$32,3,FALSE), test!$J$11:$K$14, 2, FALSE)/1440,VLOOKUP($A5,test!$A$3:$F$32,4,FALSE)=VLOOKUP(S$1,test!$A$3:$F$32,3,FALSE)),1,0)</f>
        <v>0</v>
      </c>
      <c r="T5" s="3">
        <f>IF(AND(VLOOKUP(T$1,test!$A$3:$G$32,5,FALSE)-VLOOKUP($A5,test!$A$3:$G$32,6,FALSE)&gt;=VLOOKUP(VLOOKUP(T$1, test!$A$3:$G$32,3,FALSE), test!$J$11:$K$14, 2, FALSE)/1440,VLOOKUP($A5,test!$A$3:$F$32,4,FALSE)=VLOOKUP(T$1,test!$A$3:$F$32,3,FALSE)),1,0)</f>
        <v>0</v>
      </c>
      <c r="U5" s="3">
        <f>IF(AND(VLOOKUP(U$1,test!$A$3:$G$32,5,FALSE)-VLOOKUP($A5,test!$A$3:$G$32,6,FALSE)&gt;=VLOOKUP(VLOOKUP(U$1, test!$A$3:$G$32,3,FALSE), test!$J$11:$K$14, 2, FALSE)/1440,VLOOKUP($A5,test!$A$3:$F$32,4,FALSE)=VLOOKUP(U$1,test!$A$3:$F$32,3,FALSE)),1,0)</f>
        <v>0</v>
      </c>
      <c r="V5" s="3">
        <f>IF(AND(VLOOKUP(V$1,test!$A$3:$G$32,5,FALSE)-VLOOKUP($A5,test!$A$3:$G$32,6,FALSE)&gt;=VLOOKUP(VLOOKUP(V$1, test!$A$3:$G$32,3,FALSE), test!$J$11:$K$14, 2, FALSE)/1440,VLOOKUP($A5,test!$A$3:$F$32,4,FALSE)=VLOOKUP(V$1,test!$A$3:$F$32,3,FALSE)),1,0)</f>
        <v>1</v>
      </c>
      <c r="W5" s="3">
        <f>IF(AND(VLOOKUP(W$1,test!$A$3:$G$32,5,FALSE)-VLOOKUP($A5,test!$A$3:$G$32,6,FALSE)&gt;=VLOOKUP(VLOOKUP(W$1, test!$A$3:$G$32,3,FALSE), test!$J$11:$K$14, 2, FALSE)/1440,VLOOKUP($A5,test!$A$3:$F$32,4,FALSE)=VLOOKUP(W$1,test!$A$3:$F$32,3,FALSE)),1,0)</f>
        <v>1</v>
      </c>
      <c r="X5" s="3">
        <f>IF(AND(VLOOKUP(X$1,test!$A$3:$G$32,5,FALSE)-VLOOKUP($A5,test!$A$3:$G$32,6,FALSE)&gt;=VLOOKUP(VLOOKUP(X$1, test!$A$3:$G$32,3,FALSE), test!$J$11:$K$14, 2, FALSE)/1440,VLOOKUP($A5,test!$A$3:$F$32,4,FALSE)=VLOOKUP(X$1,test!$A$3:$F$32,3,FALSE)),1,0)</f>
        <v>1</v>
      </c>
      <c r="Y5" s="3">
        <f>IF(AND(VLOOKUP(Y$1,test!$A$3:$G$32,5,FALSE)-VLOOKUP($A5,test!$A$3:$G$32,6,FALSE)&gt;=VLOOKUP(VLOOKUP(Y$1, test!$A$3:$G$32,3,FALSE), test!$J$11:$K$14, 2, FALSE)/1440,VLOOKUP($A5,test!$A$3:$F$32,4,FALSE)=VLOOKUP(Y$1,test!$A$3:$F$32,3,FALSE)),1,0)</f>
        <v>0</v>
      </c>
      <c r="Z5" s="3">
        <f>IF(AND(VLOOKUP(Z$1,test!$A$3:$G$32,5,FALSE)-VLOOKUP($A5,test!$A$3:$G$32,6,FALSE)&gt;=VLOOKUP(VLOOKUP(Z$1, test!$A$3:$G$32,3,FALSE), test!$J$11:$K$14, 2, FALSE)/1440,VLOOKUP($A5,test!$A$3:$F$32,4,FALSE)=VLOOKUP(Z$1,test!$A$3:$F$32,3,FALSE)),1,0)</f>
        <v>0</v>
      </c>
      <c r="AA5" s="3">
        <f>IF(AND(VLOOKUP(AA$1,test!$A$3:$G$32,5,FALSE)-VLOOKUP($A5,test!$A$3:$G$32,6,FALSE)&gt;=VLOOKUP(VLOOKUP(AA$1, test!$A$3:$G$32,3,FALSE), test!$J$11:$K$14, 2, FALSE)/1440,VLOOKUP($A5,test!$A$3:$F$32,4,FALSE)=VLOOKUP(AA$1,test!$A$3:$F$32,3,FALSE)),1,0)</f>
        <v>0</v>
      </c>
      <c r="AB5" s="3">
        <f>IF(AND(VLOOKUP(AB$1,test!$A$3:$G$32,5,FALSE)-VLOOKUP($A5,test!$A$3:$G$32,6,FALSE)&gt;=VLOOKUP(VLOOKUP(AB$1, test!$A$3:$G$32,3,FALSE), test!$J$11:$K$14, 2, FALSE)/1440,VLOOKUP($A5,test!$A$3:$F$32,4,FALSE)=VLOOKUP(AB$1,test!$A$3:$F$32,3,FALSE)),1,0)</f>
        <v>0</v>
      </c>
      <c r="AC5" s="3">
        <f>IF(AND(VLOOKUP(AC$1,test!$A$3:$G$32,5,FALSE)-VLOOKUP($A5,test!$A$3:$G$32,6,FALSE)&gt;=VLOOKUP(VLOOKUP(AC$1, test!$A$3:$G$32,3,FALSE), test!$J$11:$K$14, 2, FALSE)/1440,VLOOKUP($A5,test!$A$3:$F$32,4,FALSE)=VLOOKUP(AC$1,test!$A$3:$F$32,3,FALSE)),1,0)</f>
        <v>0</v>
      </c>
      <c r="AD5" s="3">
        <f>IF(AND(VLOOKUP(AD$1,test!$A$3:$G$32,5,FALSE)-VLOOKUP($A5,test!$A$3:$G$32,6,FALSE)&gt;=VLOOKUP(VLOOKUP(AD$1, test!$A$3:$G$32,3,FALSE), test!$J$11:$K$14, 2, FALSE)/1440,VLOOKUP($A5,test!$A$3:$F$32,4,FALSE)=VLOOKUP(AD$1,test!$A$3:$F$32,3,FALSE)),1,0)</f>
        <v>0</v>
      </c>
      <c r="AE5" s="3">
        <f>IF(AND(VLOOKUP(AE$1,test!$A$3:$G$32,5,FALSE)-VLOOKUP($A5,test!$A$3:$G$32,6,FALSE)&gt;=VLOOKUP(VLOOKUP(AE$1, test!$A$3:$G$32,3,FALSE), test!$J$11:$K$14, 2, FALSE)/1440,VLOOKUP($A5,test!$A$3:$F$32,4,FALSE)=VLOOKUP(AE$1,test!$A$3:$F$32,3,FALSE)),1,0)</f>
        <v>0</v>
      </c>
      <c r="AF5" s="3">
        <f>IF(AND(VLOOKUP(AF$1,test!$A$3:$G$32,5,FALSE)-VLOOKUP($A5,test!$A$3:$G$32,6,FALSE)&gt;=VLOOKUP(VLOOKUP(AF$1, test!$A$3:$G$32,3,FALSE), test!$J$11:$K$14, 2, FALSE)/1440,VLOOKUP($A5,test!$A$3:$F$32,4,FALSE)=VLOOKUP(AF$1,test!$A$3:$F$32,3,FALSE)),1,0)</f>
        <v>0</v>
      </c>
    </row>
    <row r="6" spans="1:32" x14ac:dyDescent="0.25">
      <c r="A6" t="s">
        <v>11</v>
      </c>
      <c r="B6" s="4">
        <v>1</v>
      </c>
      <c r="C6" s="3">
        <f>IF(AND(VLOOKUP(C$1,test!$A$3:$G$32,5,FALSE)-VLOOKUP($A6,test!$A$3:$G$32,6,FALSE)&gt;=VLOOKUP(VLOOKUP(C$1, test!$A$3:$G$32,3,FALSE), test!$J$11:$K$14, 2, FALSE)/1440,VLOOKUP($A6,test!$A$3:$F$32,4,FALSE)=VLOOKUP(C$1,test!$A$3:$F$32,3,FALSE)),1,0)</f>
        <v>0</v>
      </c>
      <c r="D6" s="3">
        <f>IF(AND(VLOOKUP(D$1,test!$A$3:$G$32,5,FALSE)-VLOOKUP($A6,test!$A$3:$G$32,6,FALSE)&gt;=VLOOKUP(VLOOKUP(D$1, test!$A$3:$G$32,3,FALSE), test!$J$11:$K$14, 2, FALSE)/1440,VLOOKUP($A6,test!$A$3:$F$32,4,FALSE)=VLOOKUP(D$1,test!$A$3:$F$32,3,FALSE)),1,0)</f>
        <v>0</v>
      </c>
      <c r="E6" s="3">
        <f>IF(AND(VLOOKUP(E$1,test!$A$3:$G$32,5,FALSE)-VLOOKUP($A6,test!$A$3:$G$32,6,FALSE)&gt;=VLOOKUP(VLOOKUP(E$1, test!$A$3:$G$32,3,FALSE), test!$J$11:$K$14, 2, FALSE)/1440,VLOOKUP($A6,test!$A$3:$F$32,4,FALSE)=VLOOKUP(E$1,test!$A$3:$F$32,3,FALSE)),1,0)</f>
        <v>0</v>
      </c>
      <c r="F6" s="3">
        <f>IF(AND(VLOOKUP(F$1,test!$A$3:$G$32,5,FALSE)-VLOOKUP($A6,test!$A$3:$G$32,6,FALSE)&gt;=VLOOKUP(VLOOKUP(F$1, test!$A$3:$G$32,3,FALSE), test!$J$11:$K$14, 2, FALSE)/1440,VLOOKUP($A6,test!$A$3:$F$32,4,FALSE)=VLOOKUP(F$1,test!$A$3:$F$32,3,FALSE)),1,0)</f>
        <v>0</v>
      </c>
      <c r="G6" s="3">
        <f>IF(AND(VLOOKUP(G$1,test!$A$3:$G$32,5,FALSE)-VLOOKUP($A6,test!$A$3:$G$32,6,FALSE)&gt;=VLOOKUP(VLOOKUP(G$1, test!$A$3:$G$32,3,FALSE), test!$J$11:$K$14, 2, FALSE)/1440,VLOOKUP($A6,test!$A$3:$F$32,4,FALSE)=VLOOKUP(G$1,test!$A$3:$F$32,3,FALSE)),1,0)</f>
        <v>0</v>
      </c>
      <c r="H6" s="3">
        <f>IF(AND(VLOOKUP(H$1,test!$A$3:$G$32,5,FALSE)-VLOOKUP($A6,test!$A$3:$G$32,6,FALSE)&gt;=VLOOKUP(VLOOKUP(H$1, test!$A$3:$G$32,3,FALSE), test!$J$11:$K$14, 2, FALSE)/1440,VLOOKUP($A6,test!$A$3:$F$32,4,FALSE)=VLOOKUP(H$1,test!$A$3:$F$32,3,FALSE)),1,0)</f>
        <v>0</v>
      </c>
      <c r="I6" s="3">
        <f>IF(AND(VLOOKUP(I$1,test!$A$3:$G$32,5,FALSE)-VLOOKUP($A6,test!$A$3:$G$32,6,FALSE)&gt;=VLOOKUP(VLOOKUP(I$1, test!$A$3:$G$32,3,FALSE), test!$J$11:$K$14, 2, FALSE)/1440,VLOOKUP($A6,test!$A$3:$F$32,4,FALSE)=VLOOKUP(I$1,test!$A$3:$F$32,3,FALSE)),1,0)</f>
        <v>0</v>
      </c>
      <c r="J6" s="3">
        <f>IF(AND(VLOOKUP(J$1,test!$A$3:$G$32,5,FALSE)-VLOOKUP($A6,test!$A$3:$G$32,6,FALSE)&gt;=VLOOKUP(VLOOKUP(J$1, test!$A$3:$G$32,3,FALSE), test!$J$11:$K$14, 2, FALSE)/1440,VLOOKUP($A6,test!$A$3:$F$32,4,FALSE)=VLOOKUP(J$1,test!$A$3:$F$32,3,FALSE)),1,0)</f>
        <v>0</v>
      </c>
      <c r="K6" s="3">
        <f>IF(AND(VLOOKUP(K$1,test!$A$3:$G$32,5,FALSE)-VLOOKUP($A6,test!$A$3:$G$32,6,FALSE)&gt;=VLOOKUP(VLOOKUP(K$1, test!$A$3:$G$32,3,FALSE), test!$J$11:$K$14, 2, FALSE)/1440,VLOOKUP($A6,test!$A$3:$F$32,4,FALSE)=VLOOKUP(K$1,test!$A$3:$F$32,3,FALSE)),1,0)</f>
        <v>0</v>
      </c>
      <c r="L6" s="3">
        <f>IF(AND(VLOOKUP(L$1,test!$A$3:$G$32,5,FALSE)-VLOOKUP($A6,test!$A$3:$G$32,6,FALSE)&gt;=VLOOKUP(VLOOKUP(L$1, test!$A$3:$G$32,3,FALSE), test!$J$11:$K$14, 2, FALSE)/1440,VLOOKUP($A6,test!$A$3:$F$32,4,FALSE)=VLOOKUP(L$1,test!$A$3:$F$32,3,FALSE)),1,0)</f>
        <v>0</v>
      </c>
      <c r="M6" s="3">
        <f>IF(AND(VLOOKUP(M$1,test!$A$3:$G$32,5,FALSE)-VLOOKUP($A6,test!$A$3:$G$32,6,FALSE)&gt;=VLOOKUP(VLOOKUP(M$1, test!$A$3:$G$32,3,FALSE), test!$J$11:$K$14, 2, FALSE)/1440,VLOOKUP($A6,test!$A$3:$F$32,4,FALSE)=VLOOKUP(M$1,test!$A$3:$F$32,3,FALSE)),1,0)</f>
        <v>0</v>
      </c>
      <c r="N6" s="3">
        <f>IF(AND(VLOOKUP(N$1,test!$A$3:$G$32,5,FALSE)-VLOOKUP($A6,test!$A$3:$G$32,6,FALSE)&gt;=VLOOKUP(VLOOKUP(N$1, test!$A$3:$G$32,3,FALSE), test!$J$11:$K$14, 2, FALSE)/1440,VLOOKUP($A6,test!$A$3:$F$32,4,FALSE)=VLOOKUP(N$1,test!$A$3:$F$32,3,FALSE)),1,0)</f>
        <v>0</v>
      </c>
      <c r="O6" s="3">
        <f>IF(AND(VLOOKUP(O$1,test!$A$3:$G$32,5,FALSE)-VLOOKUP($A6,test!$A$3:$G$32,6,FALSE)&gt;=VLOOKUP(VLOOKUP(O$1, test!$A$3:$G$32,3,FALSE), test!$J$11:$K$14, 2, FALSE)/1440,VLOOKUP($A6,test!$A$3:$F$32,4,FALSE)=VLOOKUP(O$1,test!$A$3:$F$32,3,FALSE)),1,0)</f>
        <v>0</v>
      </c>
      <c r="P6" s="3">
        <f>IF(AND(VLOOKUP(P$1,test!$A$3:$G$32,5,FALSE)-VLOOKUP($A6,test!$A$3:$G$32,6,FALSE)&gt;=VLOOKUP(VLOOKUP(P$1, test!$A$3:$G$32,3,FALSE), test!$J$11:$K$14, 2, FALSE)/1440,VLOOKUP($A6,test!$A$3:$F$32,4,FALSE)=VLOOKUP(P$1,test!$A$3:$F$32,3,FALSE)),1,0)</f>
        <v>0</v>
      </c>
      <c r="Q6" s="3">
        <f>IF(AND(VLOOKUP(Q$1,test!$A$3:$G$32,5,FALSE)-VLOOKUP($A6,test!$A$3:$G$32,6,FALSE)&gt;=VLOOKUP(VLOOKUP(Q$1, test!$A$3:$G$32,3,FALSE), test!$J$11:$K$14, 2, FALSE)/1440,VLOOKUP($A6,test!$A$3:$F$32,4,FALSE)=VLOOKUP(Q$1,test!$A$3:$F$32,3,FALSE)),1,0)</f>
        <v>0</v>
      </c>
      <c r="R6" s="3">
        <f>IF(AND(VLOOKUP(R$1,test!$A$3:$G$32,5,FALSE)-VLOOKUP($A6,test!$A$3:$G$32,6,FALSE)&gt;=VLOOKUP(VLOOKUP(R$1, test!$A$3:$G$32,3,FALSE), test!$J$11:$K$14, 2, FALSE)/1440,VLOOKUP($A6,test!$A$3:$F$32,4,FALSE)=VLOOKUP(R$1,test!$A$3:$F$32,3,FALSE)),1,0)</f>
        <v>0</v>
      </c>
      <c r="S6" s="3">
        <f>IF(AND(VLOOKUP(S$1,test!$A$3:$G$32,5,FALSE)-VLOOKUP($A6,test!$A$3:$G$32,6,FALSE)&gt;=VLOOKUP(VLOOKUP(S$1, test!$A$3:$G$32,3,FALSE), test!$J$11:$K$14, 2, FALSE)/1440,VLOOKUP($A6,test!$A$3:$F$32,4,FALSE)=VLOOKUP(S$1,test!$A$3:$F$32,3,FALSE)),1,0)</f>
        <v>0</v>
      </c>
      <c r="T6" s="3">
        <f>IF(AND(VLOOKUP(T$1,test!$A$3:$G$32,5,FALSE)-VLOOKUP($A6,test!$A$3:$G$32,6,FALSE)&gt;=VLOOKUP(VLOOKUP(T$1, test!$A$3:$G$32,3,FALSE), test!$J$11:$K$14, 2, FALSE)/1440,VLOOKUP($A6,test!$A$3:$F$32,4,FALSE)=VLOOKUP(T$1,test!$A$3:$F$32,3,FALSE)),1,0)</f>
        <v>0</v>
      </c>
      <c r="U6" s="3">
        <f>IF(AND(VLOOKUP(U$1,test!$A$3:$G$32,5,FALSE)-VLOOKUP($A6,test!$A$3:$G$32,6,FALSE)&gt;=VLOOKUP(VLOOKUP(U$1, test!$A$3:$G$32,3,FALSE), test!$J$11:$K$14, 2, FALSE)/1440,VLOOKUP($A6,test!$A$3:$F$32,4,FALSE)=VLOOKUP(U$1,test!$A$3:$F$32,3,FALSE)),1,0)</f>
        <v>0</v>
      </c>
      <c r="V6" s="3">
        <f>IF(AND(VLOOKUP(V$1,test!$A$3:$G$32,5,FALSE)-VLOOKUP($A6,test!$A$3:$G$32,6,FALSE)&gt;=VLOOKUP(VLOOKUP(V$1, test!$A$3:$G$32,3,FALSE), test!$J$11:$K$14, 2, FALSE)/1440,VLOOKUP($A6,test!$A$3:$F$32,4,FALSE)=VLOOKUP(V$1,test!$A$3:$F$32,3,FALSE)),1,0)</f>
        <v>0</v>
      </c>
      <c r="W6" s="3">
        <f>IF(AND(VLOOKUP(W$1,test!$A$3:$G$32,5,FALSE)-VLOOKUP($A6,test!$A$3:$G$32,6,FALSE)&gt;=VLOOKUP(VLOOKUP(W$1, test!$A$3:$G$32,3,FALSE), test!$J$11:$K$14, 2, FALSE)/1440,VLOOKUP($A6,test!$A$3:$F$32,4,FALSE)=VLOOKUP(W$1,test!$A$3:$F$32,3,FALSE)),1,0)</f>
        <v>1</v>
      </c>
      <c r="X6" s="3">
        <f>IF(AND(VLOOKUP(X$1,test!$A$3:$G$32,5,FALSE)-VLOOKUP($A6,test!$A$3:$G$32,6,FALSE)&gt;=VLOOKUP(VLOOKUP(X$1, test!$A$3:$G$32,3,FALSE), test!$J$11:$K$14, 2, FALSE)/1440,VLOOKUP($A6,test!$A$3:$F$32,4,FALSE)=VLOOKUP(X$1,test!$A$3:$F$32,3,FALSE)),1,0)</f>
        <v>1</v>
      </c>
      <c r="Y6" s="3">
        <f>IF(AND(VLOOKUP(Y$1,test!$A$3:$G$32,5,FALSE)-VLOOKUP($A6,test!$A$3:$G$32,6,FALSE)&gt;=VLOOKUP(VLOOKUP(Y$1, test!$A$3:$G$32,3,FALSE), test!$J$11:$K$14, 2, FALSE)/1440,VLOOKUP($A6,test!$A$3:$F$32,4,FALSE)=VLOOKUP(Y$1,test!$A$3:$F$32,3,FALSE)),1,0)</f>
        <v>0</v>
      </c>
      <c r="Z6" s="3">
        <f>IF(AND(VLOOKUP(Z$1,test!$A$3:$G$32,5,FALSE)-VLOOKUP($A6,test!$A$3:$G$32,6,FALSE)&gt;=VLOOKUP(VLOOKUP(Z$1, test!$A$3:$G$32,3,FALSE), test!$J$11:$K$14, 2, FALSE)/1440,VLOOKUP($A6,test!$A$3:$F$32,4,FALSE)=VLOOKUP(Z$1,test!$A$3:$F$32,3,FALSE)),1,0)</f>
        <v>0</v>
      </c>
      <c r="AA6" s="3">
        <f>IF(AND(VLOOKUP(AA$1,test!$A$3:$G$32,5,FALSE)-VLOOKUP($A6,test!$A$3:$G$32,6,FALSE)&gt;=VLOOKUP(VLOOKUP(AA$1, test!$A$3:$G$32,3,FALSE), test!$J$11:$K$14, 2, FALSE)/1440,VLOOKUP($A6,test!$A$3:$F$32,4,FALSE)=VLOOKUP(AA$1,test!$A$3:$F$32,3,FALSE)),1,0)</f>
        <v>0</v>
      </c>
      <c r="AB6" s="3">
        <f>IF(AND(VLOOKUP(AB$1,test!$A$3:$G$32,5,FALSE)-VLOOKUP($A6,test!$A$3:$G$32,6,FALSE)&gt;=VLOOKUP(VLOOKUP(AB$1, test!$A$3:$G$32,3,FALSE), test!$J$11:$K$14, 2, FALSE)/1440,VLOOKUP($A6,test!$A$3:$F$32,4,FALSE)=VLOOKUP(AB$1,test!$A$3:$F$32,3,FALSE)),1,0)</f>
        <v>0</v>
      </c>
      <c r="AC6" s="3">
        <f>IF(AND(VLOOKUP(AC$1,test!$A$3:$G$32,5,FALSE)-VLOOKUP($A6,test!$A$3:$G$32,6,FALSE)&gt;=VLOOKUP(VLOOKUP(AC$1, test!$A$3:$G$32,3,FALSE), test!$J$11:$K$14, 2, FALSE)/1440,VLOOKUP($A6,test!$A$3:$F$32,4,FALSE)=VLOOKUP(AC$1,test!$A$3:$F$32,3,FALSE)),1,0)</f>
        <v>0</v>
      </c>
      <c r="AD6" s="3">
        <f>IF(AND(VLOOKUP(AD$1,test!$A$3:$G$32,5,FALSE)-VLOOKUP($A6,test!$A$3:$G$32,6,FALSE)&gt;=VLOOKUP(VLOOKUP(AD$1, test!$A$3:$G$32,3,FALSE), test!$J$11:$K$14, 2, FALSE)/1440,VLOOKUP($A6,test!$A$3:$F$32,4,FALSE)=VLOOKUP(AD$1,test!$A$3:$F$32,3,FALSE)),1,0)</f>
        <v>0</v>
      </c>
      <c r="AE6" s="3">
        <f>IF(AND(VLOOKUP(AE$1,test!$A$3:$G$32,5,FALSE)-VLOOKUP($A6,test!$A$3:$G$32,6,FALSE)&gt;=VLOOKUP(VLOOKUP(AE$1, test!$A$3:$G$32,3,FALSE), test!$J$11:$K$14, 2, FALSE)/1440,VLOOKUP($A6,test!$A$3:$F$32,4,FALSE)=VLOOKUP(AE$1,test!$A$3:$F$32,3,FALSE)),1,0)</f>
        <v>0</v>
      </c>
      <c r="AF6" s="3">
        <f>IF(AND(VLOOKUP(AF$1,test!$A$3:$G$32,5,FALSE)-VLOOKUP($A6,test!$A$3:$G$32,6,FALSE)&gt;=VLOOKUP(VLOOKUP(AF$1, test!$A$3:$G$32,3,FALSE), test!$J$11:$K$14, 2, FALSE)/1440,VLOOKUP($A6,test!$A$3:$F$32,4,FALSE)=VLOOKUP(AF$1,test!$A$3:$F$32,3,FALSE)),1,0)</f>
        <v>0</v>
      </c>
    </row>
    <row r="7" spans="1:32" x14ac:dyDescent="0.25">
      <c r="A7" t="s">
        <v>12</v>
      </c>
      <c r="B7" s="4">
        <v>1</v>
      </c>
      <c r="C7" s="3">
        <f>IF(AND(VLOOKUP(C$1,test!$A$3:$G$32,5,FALSE)-VLOOKUP($A7,test!$A$3:$G$32,6,FALSE)&gt;=VLOOKUP(VLOOKUP(C$1, test!$A$3:$G$32,3,FALSE), test!$J$11:$K$14, 2, FALSE)/1440,VLOOKUP($A7,test!$A$3:$F$32,4,FALSE)=VLOOKUP(C$1,test!$A$3:$F$32,3,FALSE)),1,0)</f>
        <v>0</v>
      </c>
      <c r="D7" s="3">
        <f>IF(AND(VLOOKUP(D$1,test!$A$3:$G$32,5,FALSE)-VLOOKUP($A7,test!$A$3:$G$32,6,FALSE)&gt;=VLOOKUP(VLOOKUP(D$1, test!$A$3:$G$32,3,FALSE), test!$J$11:$K$14, 2, FALSE)/1440,VLOOKUP($A7,test!$A$3:$F$32,4,FALSE)=VLOOKUP(D$1,test!$A$3:$F$32,3,FALSE)),1,0)</f>
        <v>0</v>
      </c>
      <c r="E7" s="3">
        <f>IF(AND(VLOOKUP(E$1,test!$A$3:$G$32,5,FALSE)-VLOOKUP($A7,test!$A$3:$G$32,6,FALSE)&gt;=VLOOKUP(VLOOKUP(E$1, test!$A$3:$G$32,3,FALSE), test!$J$11:$K$14, 2, FALSE)/1440,VLOOKUP($A7,test!$A$3:$F$32,4,FALSE)=VLOOKUP(E$1,test!$A$3:$F$32,3,FALSE)),1,0)</f>
        <v>0</v>
      </c>
      <c r="F7" s="3">
        <f>IF(AND(VLOOKUP(F$1,test!$A$3:$G$32,5,FALSE)-VLOOKUP($A7,test!$A$3:$G$32,6,FALSE)&gt;=VLOOKUP(VLOOKUP(F$1, test!$A$3:$G$32,3,FALSE), test!$J$11:$K$14, 2, FALSE)/1440,VLOOKUP($A7,test!$A$3:$F$32,4,FALSE)=VLOOKUP(F$1,test!$A$3:$F$32,3,FALSE)),1,0)</f>
        <v>0</v>
      </c>
      <c r="G7" s="3">
        <f>IF(AND(VLOOKUP(G$1,test!$A$3:$G$32,5,FALSE)-VLOOKUP($A7,test!$A$3:$G$32,6,FALSE)&gt;=VLOOKUP(VLOOKUP(G$1, test!$A$3:$G$32,3,FALSE), test!$J$11:$K$14, 2, FALSE)/1440,VLOOKUP($A7,test!$A$3:$F$32,4,FALSE)=VLOOKUP(G$1,test!$A$3:$F$32,3,FALSE)),1,0)</f>
        <v>0</v>
      </c>
      <c r="H7" s="3">
        <f>IF(AND(VLOOKUP(H$1,test!$A$3:$G$32,5,FALSE)-VLOOKUP($A7,test!$A$3:$G$32,6,FALSE)&gt;=VLOOKUP(VLOOKUP(H$1, test!$A$3:$G$32,3,FALSE), test!$J$11:$K$14, 2, FALSE)/1440,VLOOKUP($A7,test!$A$3:$F$32,4,FALSE)=VLOOKUP(H$1,test!$A$3:$F$32,3,FALSE)),1,0)</f>
        <v>0</v>
      </c>
      <c r="I7" s="3">
        <f>IF(AND(VLOOKUP(I$1,test!$A$3:$G$32,5,FALSE)-VLOOKUP($A7,test!$A$3:$G$32,6,FALSE)&gt;=VLOOKUP(VLOOKUP(I$1, test!$A$3:$G$32,3,FALSE), test!$J$11:$K$14, 2, FALSE)/1440,VLOOKUP($A7,test!$A$3:$F$32,4,FALSE)=VLOOKUP(I$1,test!$A$3:$F$32,3,FALSE)),1,0)</f>
        <v>0</v>
      </c>
      <c r="J7" s="3">
        <f>IF(AND(VLOOKUP(J$1,test!$A$3:$G$32,5,FALSE)-VLOOKUP($A7,test!$A$3:$G$32,6,FALSE)&gt;=VLOOKUP(VLOOKUP(J$1, test!$A$3:$G$32,3,FALSE), test!$J$11:$K$14, 2, FALSE)/1440,VLOOKUP($A7,test!$A$3:$F$32,4,FALSE)=VLOOKUP(J$1,test!$A$3:$F$32,3,FALSE)),1,0)</f>
        <v>0</v>
      </c>
      <c r="K7" s="3">
        <f>IF(AND(VLOOKUP(K$1,test!$A$3:$G$32,5,FALSE)-VLOOKUP($A7,test!$A$3:$G$32,6,FALSE)&gt;=VLOOKUP(VLOOKUP(K$1, test!$A$3:$G$32,3,FALSE), test!$J$11:$K$14, 2, FALSE)/1440,VLOOKUP($A7,test!$A$3:$F$32,4,FALSE)=VLOOKUP(K$1,test!$A$3:$F$32,3,FALSE)),1,0)</f>
        <v>0</v>
      </c>
      <c r="L7" s="3">
        <f>IF(AND(VLOOKUP(L$1,test!$A$3:$G$32,5,FALSE)-VLOOKUP($A7,test!$A$3:$G$32,6,FALSE)&gt;=VLOOKUP(VLOOKUP(L$1, test!$A$3:$G$32,3,FALSE), test!$J$11:$K$14, 2, FALSE)/1440,VLOOKUP($A7,test!$A$3:$F$32,4,FALSE)=VLOOKUP(L$1,test!$A$3:$F$32,3,FALSE)),1,0)</f>
        <v>0</v>
      </c>
      <c r="M7" s="3">
        <f>IF(AND(VLOOKUP(M$1,test!$A$3:$G$32,5,FALSE)-VLOOKUP($A7,test!$A$3:$G$32,6,FALSE)&gt;=VLOOKUP(VLOOKUP(M$1, test!$A$3:$G$32,3,FALSE), test!$J$11:$K$14, 2, FALSE)/1440,VLOOKUP($A7,test!$A$3:$F$32,4,FALSE)=VLOOKUP(M$1,test!$A$3:$F$32,3,FALSE)),1,0)</f>
        <v>0</v>
      </c>
      <c r="N7" s="3">
        <f>IF(AND(VLOOKUP(N$1,test!$A$3:$G$32,5,FALSE)-VLOOKUP($A7,test!$A$3:$G$32,6,FALSE)&gt;=VLOOKUP(VLOOKUP(N$1, test!$A$3:$G$32,3,FALSE), test!$J$11:$K$14, 2, FALSE)/1440,VLOOKUP($A7,test!$A$3:$F$32,4,FALSE)=VLOOKUP(N$1,test!$A$3:$F$32,3,FALSE)),1,0)</f>
        <v>0</v>
      </c>
      <c r="O7" s="3">
        <f>IF(AND(VLOOKUP(O$1,test!$A$3:$G$32,5,FALSE)-VLOOKUP($A7,test!$A$3:$G$32,6,FALSE)&gt;=VLOOKUP(VLOOKUP(O$1, test!$A$3:$G$32,3,FALSE), test!$J$11:$K$14, 2, FALSE)/1440,VLOOKUP($A7,test!$A$3:$F$32,4,FALSE)=VLOOKUP(O$1,test!$A$3:$F$32,3,FALSE)),1,0)</f>
        <v>0</v>
      </c>
      <c r="P7" s="3">
        <f>IF(AND(VLOOKUP(P$1,test!$A$3:$G$32,5,FALSE)-VLOOKUP($A7,test!$A$3:$G$32,6,FALSE)&gt;=VLOOKUP(VLOOKUP(P$1, test!$A$3:$G$32,3,FALSE), test!$J$11:$K$14, 2, FALSE)/1440,VLOOKUP($A7,test!$A$3:$F$32,4,FALSE)=VLOOKUP(P$1,test!$A$3:$F$32,3,FALSE)),1,0)</f>
        <v>0</v>
      </c>
      <c r="Q7" s="3">
        <f>IF(AND(VLOOKUP(Q$1,test!$A$3:$G$32,5,FALSE)-VLOOKUP($A7,test!$A$3:$G$32,6,FALSE)&gt;=VLOOKUP(VLOOKUP(Q$1, test!$A$3:$G$32,3,FALSE), test!$J$11:$K$14, 2, FALSE)/1440,VLOOKUP($A7,test!$A$3:$F$32,4,FALSE)=VLOOKUP(Q$1,test!$A$3:$F$32,3,FALSE)),1,0)</f>
        <v>0</v>
      </c>
      <c r="R7" s="3">
        <f>IF(AND(VLOOKUP(R$1,test!$A$3:$G$32,5,FALSE)-VLOOKUP($A7,test!$A$3:$G$32,6,FALSE)&gt;=VLOOKUP(VLOOKUP(R$1, test!$A$3:$G$32,3,FALSE), test!$J$11:$K$14, 2, FALSE)/1440,VLOOKUP($A7,test!$A$3:$F$32,4,FALSE)=VLOOKUP(R$1,test!$A$3:$F$32,3,FALSE)),1,0)</f>
        <v>0</v>
      </c>
      <c r="S7" s="3">
        <f>IF(AND(VLOOKUP(S$1,test!$A$3:$G$32,5,FALSE)-VLOOKUP($A7,test!$A$3:$G$32,6,FALSE)&gt;=VLOOKUP(VLOOKUP(S$1, test!$A$3:$G$32,3,FALSE), test!$J$11:$K$14, 2, FALSE)/1440,VLOOKUP($A7,test!$A$3:$F$32,4,FALSE)=VLOOKUP(S$1,test!$A$3:$F$32,3,FALSE)),1,0)</f>
        <v>0</v>
      </c>
      <c r="T7" s="3">
        <f>IF(AND(VLOOKUP(T$1,test!$A$3:$G$32,5,FALSE)-VLOOKUP($A7,test!$A$3:$G$32,6,FALSE)&gt;=VLOOKUP(VLOOKUP(T$1, test!$A$3:$G$32,3,FALSE), test!$J$11:$K$14, 2, FALSE)/1440,VLOOKUP($A7,test!$A$3:$F$32,4,FALSE)=VLOOKUP(T$1,test!$A$3:$F$32,3,FALSE)),1,0)</f>
        <v>0</v>
      </c>
      <c r="U7" s="3">
        <f>IF(AND(VLOOKUP(U$1,test!$A$3:$G$32,5,FALSE)-VLOOKUP($A7,test!$A$3:$G$32,6,FALSE)&gt;=VLOOKUP(VLOOKUP(U$1, test!$A$3:$G$32,3,FALSE), test!$J$11:$K$14, 2, FALSE)/1440,VLOOKUP($A7,test!$A$3:$F$32,4,FALSE)=VLOOKUP(U$1,test!$A$3:$F$32,3,FALSE)),1,0)</f>
        <v>0</v>
      </c>
      <c r="V7" s="3">
        <f>IF(AND(VLOOKUP(V$1,test!$A$3:$G$32,5,FALSE)-VLOOKUP($A7,test!$A$3:$G$32,6,FALSE)&gt;=VLOOKUP(VLOOKUP(V$1, test!$A$3:$G$32,3,FALSE), test!$J$11:$K$14, 2, FALSE)/1440,VLOOKUP($A7,test!$A$3:$F$32,4,FALSE)=VLOOKUP(V$1,test!$A$3:$F$32,3,FALSE)),1,0)</f>
        <v>0</v>
      </c>
      <c r="W7" s="3">
        <f>IF(AND(VLOOKUP(W$1,test!$A$3:$G$32,5,FALSE)-VLOOKUP($A7,test!$A$3:$G$32,6,FALSE)&gt;=VLOOKUP(VLOOKUP(W$1, test!$A$3:$G$32,3,FALSE), test!$J$11:$K$14, 2, FALSE)/1440,VLOOKUP($A7,test!$A$3:$F$32,4,FALSE)=VLOOKUP(W$1,test!$A$3:$F$32,3,FALSE)),1,0)</f>
        <v>0</v>
      </c>
      <c r="X7" s="3">
        <f>IF(AND(VLOOKUP(X$1,test!$A$3:$G$32,5,FALSE)-VLOOKUP($A7,test!$A$3:$G$32,6,FALSE)&gt;=VLOOKUP(VLOOKUP(X$1, test!$A$3:$G$32,3,FALSE), test!$J$11:$K$14, 2, FALSE)/1440,VLOOKUP($A7,test!$A$3:$F$32,4,FALSE)=VLOOKUP(X$1,test!$A$3:$F$32,3,FALSE)),1,0)</f>
        <v>1</v>
      </c>
      <c r="Y7" s="3">
        <f>IF(AND(VLOOKUP(Y$1,test!$A$3:$G$32,5,FALSE)-VLOOKUP($A7,test!$A$3:$G$32,6,FALSE)&gt;=VLOOKUP(VLOOKUP(Y$1, test!$A$3:$G$32,3,FALSE), test!$J$11:$K$14, 2, FALSE)/1440,VLOOKUP($A7,test!$A$3:$F$32,4,FALSE)=VLOOKUP(Y$1,test!$A$3:$F$32,3,FALSE)),1,0)</f>
        <v>0</v>
      </c>
      <c r="Z7" s="3">
        <f>IF(AND(VLOOKUP(Z$1,test!$A$3:$G$32,5,FALSE)-VLOOKUP($A7,test!$A$3:$G$32,6,FALSE)&gt;=VLOOKUP(VLOOKUP(Z$1, test!$A$3:$G$32,3,FALSE), test!$J$11:$K$14, 2, FALSE)/1440,VLOOKUP($A7,test!$A$3:$F$32,4,FALSE)=VLOOKUP(Z$1,test!$A$3:$F$32,3,FALSE)),1,0)</f>
        <v>0</v>
      </c>
      <c r="AA7" s="3">
        <f>IF(AND(VLOOKUP(AA$1,test!$A$3:$G$32,5,FALSE)-VLOOKUP($A7,test!$A$3:$G$32,6,FALSE)&gt;=VLOOKUP(VLOOKUP(AA$1, test!$A$3:$G$32,3,FALSE), test!$J$11:$K$14, 2, FALSE)/1440,VLOOKUP($A7,test!$A$3:$F$32,4,FALSE)=VLOOKUP(AA$1,test!$A$3:$F$32,3,FALSE)),1,0)</f>
        <v>0</v>
      </c>
      <c r="AB7" s="3">
        <f>IF(AND(VLOOKUP(AB$1,test!$A$3:$G$32,5,FALSE)-VLOOKUP($A7,test!$A$3:$G$32,6,FALSE)&gt;=VLOOKUP(VLOOKUP(AB$1, test!$A$3:$G$32,3,FALSE), test!$J$11:$K$14, 2, FALSE)/1440,VLOOKUP($A7,test!$A$3:$F$32,4,FALSE)=VLOOKUP(AB$1,test!$A$3:$F$32,3,FALSE)),1,0)</f>
        <v>0</v>
      </c>
      <c r="AC7" s="3">
        <f>IF(AND(VLOOKUP(AC$1,test!$A$3:$G$32,5,FALSE)-VLOOKUP($A7,test!$A$3:$G$32,6,FALSE)&gt;=VLOOKUP(VLOOKUP(AC$1, test!$A$3:$G$32,3,FALSE), test!$J$11:$K$14, 2, FALSE)/1440,VLOOKUP($A7,test!$A$3:$F$32,4,FALSE)=VLOOKUP(AC$1,test!$A$3:$F$32,3,FALSE)),1,0)</f>
        <v>0</v>
      </c>
      <c r="AD7" s="3">
        <f>IF(AND(VLOOKUP(AD$1,test!$A$3:$G$32,5,FALSE)-VLOOKUP($A7,test!$A$3:$G$32,6,FALSE)&gt;=VLOOKUP(VLOOKUP(AD$1, test!$A$3:$G$32,3,FALSE), test!$J$11:$K$14, 2, FALSE)/1440,VLOOKUP($A7,test!$A$3:$F$32,4,FALSE)=VLOOKUP(AD$1,test!$A$3:$F$32,3,FALSE)),1,0)</f>
        <v>0</v>
      </c>
      <c r="AE7" s="3">
        <f>IF(AND(VLOOKUP(AE$1,test!$A$3:$G$32,5,FALSE)-VLOOKUP($A7,test!$A$3:$G$32,6,FALSE)&gt;=VLOOKUP(VLOOKUP(AE$1, test!$A$3:$G$32,3,FALSE), test!$J$11:$K$14, 2, FALSE)/1440,VLOOKUP($A7,test!$A$3:$F$32,4,FALSE)=VLOOKUP(AE$1,test!$A$3:$F$32,3,FALSE)),1,0)</f>
        <v>0</v>
      </c>
      <c r="AF7" s="3">
        <f>IF(AND(VLOOKUP(AF$1,test!$A$3:$G$32,5,FALSE)-VLOOKUP($A7,test!$A$3:$G$32,6,FALSE)&gt;=VLOOKUP(VLOOKUP(AF$1, test!$A$3:$G$32,3,FALSE), test!$J$11:$K$14, 2, FALSE)/1440,VLOOKUP($A7,test!$A$3:$F$32,4,FALSE)=VLOOKUP(AF$1,test!$A$3:$F$32,3,FALSE)),1,0)</f>
        <v>0</v>
      </c>
    </row>
    <row r="8" spans="1:32" x14ac:dyDescent="0.25">
      <c r="A8" t="s">
        <v>13</v>
      </c>
      <c r="B8" s="4">
        <v>1</v>
      </c>
      <c r="C8" s="3">
        <f>IF(AND(VLOOKUP(C$1,test!$A$3:$G$32,5,FALSE)-VLOOKUP($A8,test!$A$3:$G$32,6,FALSE)&gt;=VLOOKUP(VLOOKUP(C$1, test!$A$3:$G$32,3,FALSE), test!$J$11:$K$14, 2, FALSE)/1440,VLOOKUP($A8,test!$A$3:$F$32,4,FALSE)=VLOOKUP(C$1,test!$A$3:$F$32,3,FALSE)),1,0)</f>
        <v>0</v>
      </c>
      <c r="D8" s="3">
        <f>IF(AND(VLOOKUP(D$1,test!$A$3:$G$32,5,FALSE)-VLOOKUP($A8,test!$A$3:$G$32,6,FALSE)&gt;=VLOOKUP(VLOOKUP(D$1, test!$A$3:$G$32,3,FALSE), test!$J$11:$K$14, 2, FALSE)/1440,VLOOKUP($A8,test!$A$3:$F$32,4,FALSE)=VLOOKUP(D$1,test!$A$3:$F$32,3,FALSE)),1,0)</f>
        <v>0</v>
      </c>
      <c r="E8" s="3">
        <f>IF(AND(VLOOKUP(E$1,test!$A$3:$G$32,5,FALSE)-VLOOKUP($A8,test!$A$3:$G$32,6,FALSE)&gt;=VLOOKUP(VLOOKUP(E$1, test!$A$3:$G$32,3,FALSE), test!$J$11:$K$14, 2, FALSE)/1440,VLOOKUP($A8,test!$A$3:$F$32,4,FALSE)=VLOOKUP(E$1,test!$A$3:$F$32,3,FALSE)),1,0)</f>
        <v>0</v>
      </c>
      <c r="F8" s="3">
        <f>IF(AND(VLOOKUP(F$1,test!$A$3:$G$32,5,FALSE)-VLOOKUP($A8,test!$A$3:$G$32,6,FALSE)&gt;=VLOOKUP(VLOOKUP(F$1, test!$A$3:$G$32,3,FALSE), test!$J$11:$K$14, 2, FALSE)/1440,VLOOKUP($A8,test!$A$3:$F$32,4,FALSE)=VLOOKUP(F$1,test!$A$3:$F$32,3,FALSE)),1,0)</f>
        <v>0</v>
      </c>
      <c r="G8" s="3">
        <f>IF(AND(VLOOKUP(G$1,test!$A$3:$G$32,5,FALSE)-VLOOKUP($A8,test!$A$3:$G$32,6,FALSE)&gt;=VLOOKUP(VLOOKUP(G$1, test!$A$3:$G$32,3,FALSE), test!$J$11:$K$14, 2, FALSE)/1440,VLOOKUP($A8,test!$A$3:$F$32,4,FALSE)=VLOOKUP(G$1,test!$A$3:$F$32,3,FALSE)),1,0)</f>
        <v>0</v>
      </c>
      <c r="H8" s="3">
        <f>IF(AND(VLOOKUP(H$1,test!$A$3:$G$32,5,FALSE)-VLOOKUP($A8,test!$A$3:$G$32,6,FALSE)&gt;=VLOOKUP(VLOOKUP(H$1, test!$A$3:$G$32,3,FALSE), test!$J$11:$K$14, 2, FALSE)/1440,VLOOKUP($A8,test!$A$3:$F$32,4,FALSE)=VLOOKUP(H$1,test!$A$3:$F$32,3,FALSE)),1,0)</f>
        <v>0</v>
      </c>
      <c r="I8" s="3">
        <f>IF(AND(VLOOKUP(I$1,test!$A$3:$G$32,5,FALSE)-VLOOKUP($A8,test!$A$3:$G$32,6,FALSE)&gt;=VLOOKUP(VLOOKUP(I$1, test!$A$3:$G$32,3,FALSE), test!$J$11:$K$14, 2, FALSE)/1440,VLOOKUP($A8,test!$A$3:$F$32,4,FALSE)=VLOOKUP(I$1,test!$A$3:$F$32,3,FALSE)),1,0)</f>
        <v>0</v>
      </c>
      <c r="J8" s="3">
        <f>IF(AND(VLOOKUP(J$1,test!$A$3:$G$32,5,FALSE)-VLOOKUP($A8,test!$A$3:$G$32,6,FALSE)&gt;=VLOOKUP(VLOOKUP(J$1, test!$A$3:$G$32,3,FALSE), test!$J$11:$K$14, 2, FALSE)/1440,VLOOKUP($A8,test!$A$3:$F$32,4,FALSE)=VLOOKUP(J$1,test!$A$3:$F$32,3,FALSE)),1,0)</f>
        <v>0</v>
      </c>
      <c r="K8" s="3">
        <f>IF(AND(VLOOKUP(K$1,test!$A$3:$G$32,5,FALSE)-VLOOKUP($A8,test!$A$3:$G$32,6,FALSE)&gt;=VLOOKUP(VLOOKUP(K$1, test!$A$3:$G$32,3,FALSE), test!$J$11:$K$14, 2, FALSE)/1440,VLOOKUP($A8,test!$A$3:$F$32,4,FALSE)=VLOOKUP(K$1,test!$A$3:$F$32,3,FALSE)),1,0)</f>
        <v>0</v>
      </c>
      <c r="L8" s="3">
        <f>IF(AND(VLOOKUP(L$1,test!$A$3:$G$32,5,FALSE)-VLOOKUP($A8,test!$A$3:$G$32,6,FALSE)&gt;=VLOOKUP(VLOOKUP(L$1, test!$A$3:$G$32,3,FALSE), test!$J$11:$K$14, 2, FALSE)/1440,VLOOKUP($A8,test!$A$3:$F$32,4,FALSE)=VLOOKUP(L$1,test!$A$3:$F$32,3,FALSE)),1,0)</f>
        <v>0</v>
      </c>
      <c r="M8" s="3">
        <f>IF(AND(VLOOKUP(M$1,test!$A$3:$G$32,5,FALSE)-VLOOKUP($A8,test!$A$3:$G$32,6,FALSE)&gt;=VLOOKUP(VLOOKUP(M$1, test!$A$3:$G$32,3,FALSE), test!$J$11:$K$14, 2, FALSE)/1440,VLOOKUP($A8,test!$A$3:$F$32,4,FALSE)=VLOOKUP(M$1,test!$A$3:$F$32,3,FALSE)),1,0)</f>
        <v>0</v>
      </c>
      <c r="N8" s="3">
        <f>IF(AND(VLOOKUP(N$1,test!$A$3:$G$32,5,FALSE)-VLOOKUP($A8,test!$A$3:$G$32,6,FALSE)&gt;=VLOOKUP(VLOOKUP(N$1, test!$A$3:$G$32,3,FALSE), test!$J$11:$K$14, 2, FALSE)/1440,VLOOKUP($A8,test!$A$3:$F$32,4,FALSE)=VLOOKUP(N$1,test!$A$3:$F$32,3,FALSE)),1,0)</f>
        <v>0</v>
      </c>
      <c r="O8" s="3">
        <f>IF(AND(VLOOKUP(O$1,test!$A$3:$G$32,5,FALSE)-VLOOKUP($A8,test!$A$3:$G$32,6,FALSE)&gt;=VLOOKUP(VLOOKUP(O$1, test!$A$3:$G$32,3,FALSE), test!$J$11:$K$14, 2, FALSE)/1440,VLOOKUP($A8,test!$A$3:$F$32,4,FALSE)=VLOOKUP(O$1,test!$A$3:$F$32,3,FALSE)),1,0)</f>
        <v>0</v>
      </c>
      <c r="P8" s="3">
        <f>IF(AND(VLOOKUP(P$1,test!$A$3:$G$32,5,FALSE)-VLOOKUP($A8,test!$A$3:$G$32,6,FALSE)&gt;=VLOOKUP(VLOOKUP(P$1, test!$A$3:$G$32,3,FALSE), test!$J$11:$K$14, 2, FALSE)/1440,VLOOKUP($A8,test!$A$3:$F$32,4,FALSE)=VLOOKUP(P$1,test!$A$3:$F$32,3,FALSE)),1,0)</f>
        <v>0</v>
      </c>
      <c r="Q8" s="3">
        <f>IF(AND(VLOOKUP(Q$1,test!$A$3:$G$32,5,FALSE)-VLOOKUP($A8,test!$A$3:$G$32,6,FALSE)&gt;=VLOOKUP(VLOOKUP(Q$1, test!$A$3:$G$32,3,FALSE), test!$J$11:$K$14, 2, FALSE)/1440,VLOOKUP($A8,test!$A$3:$F$32,4,FALSE)=VLOOKUP(Q$1,test!$A$3:$F$32,3,FALSE)),1,0)</f>
        <v>0</v>
      </c>
      <c r="R8" s="3">
        <f>IF(AND(VLOOKUP(R$1,test!$A$3:$G$32,5,FALSE)-VLOOKUP($A8,test!$A$3:$G$32,6,FALSE)&gt;=VLOOKUP(VLOOKUP(R$1, test!$A$3:$G$32,3,FALSE), test!$J$11:$K$14, 2, FALSE)/1440,VLOOKUP($A8,test!$A$3:$F$32,4,FALSE)=VLOOKUP(R$1,test!$A$3:$F$32,3,FALSE)),1,0)</f>
        <v>0</v>
      </c>
      <c r="S8" s="3">
        <f>IF(AND(VLOOKUP(S$1,test!$A$3:$G$32,5,FALSE)-VLOOKUP($A8,test!$A$3:$G$32,6,FALSE)&gt;=VLOOKUP(VLOOKUP(S$1, test!$A$3:$G$32,3,FALSE), test!$J$11:$K$14, 2, FALSE)/1440,VLOOKUP($A8,test!$A$3:$F$32,4,FALSE)=VLOOKUP(S$1,test!$A$3:$F$32,3,FALSE)),1,0)</f>
        <v>0</v>
      </c>
      <c r="T8" s="3">
        <f>IF(AND(VLOOKUP(T$1,test!$A$3:$G$32,5,FALSE)-VLOOKUP($A8,test!$A$3:$G$32,6,FALSE)&gt;=VLOOKUP(VLOOKUP(T$1, test!$A$3:$G$32,3,FALSE), test!$J$11:$K$14, 2, FALSE)/1440,VLOOKUP($A8,test!$A$3:$F$32,4,FALSE)=VLOOKUP(T$1,test!$A$3:$F$32,3,FALSE)),1,0)</f>
        <v>0</v>
      </c>
      <c r="U8" s="3">
        <f>IF(AND(VLOOKUP(U$1,test!$A$3:$G$32,5,FALSE)-VLOOKUP($A8,test!$A$3:$G$32,6,FALSE)&gt;=VLOOKUP(VLOOKUP(U$1, test!$A$3:$G$32,3,FALSE), test!$J$11:$K$14, 2, FALSE)/1440,VLOOKUP($A8,test!$A$3:$F$32,4,FALSE)=VLOOKUP(U$1,test!$A$3:$F$32,3,FALSE)),1,0)</f>
        <v>0</v>
      </c>
      <c r="V8" s="3">
        <f>IF(AND(VLOOKUP(V$1,test!$A$3:$G$32,5,FALSE)-VLOOKUP($A8,test!$A$3:$G$32,6,FALSE)&gt;=VLOOKUP(VLOOKUP(V$1, test!$A$3:$G$32,3,FALSE), test!$J$11:$K$14, 2, FALSE)/1440,VLOOKUP($A8,test!$A$3:$F$32,4,FALSE)=VLOOKUP(V$1,test!$A$3:$F$32,3,FALSE)),1,0)</f>
        <v>0</v>
      </c>
      <c r="W8" s="3">
        <f>IF(AND(VLOOKUP(W$1,test!$A$3:$G$32,5,FALSE)-VLOOKUP($A8,test!$A$3:$G$32,6,FALSE)&gt;=VLOOKUP(VLOOKUP(W$1, test!$A$3:$G$32,3,FALSE), test!$J$11:$K$14, 2, FALSE)/1440,VLOOKUP($A8,test!$A$3:$F$32,4,FALSE)=VLOOKUP(W$1,test!$A$3:$F$32,3,FALSE)),1,0)</f>
        <v>0</v>
      </c>
      <c r="X8" s="3">
        <f>IF(AND(VLOOKUP(X$1,test!$A$3:$G$32,5,FALSE)-VLOOKUP($A8,test!$A$3:$G$32,6,FALSE)&gt;=VLOOKUP(VLOOKUP(X$1, test!$A$3:$G$32,3,FALSE), test!$J$11:$K$14, 2, FALSE)/1440,VLOOKUP($A8,test!$A$3:$F$32,4,FALSE)=VLOOKUP(X$1,test!$A$3:$F$32,3,FALSE)),1,0)</f>
        <v>0</v>
      </c>
      <c r="Y8" s="3">
        <f>IF(AND(VLOOKUP(Y$1,test!$A$3:$G$32,5,FALSE)-VLOOKUP($A8,test!$A$3:$G$32,6,FALSE)&gt;=VLOOKUP(VLOOKUP(Y$1, test!$A$3:$G$32,3,FALSE), test!$J$11:$K$14, 2, FALSE)/1440,VLOOKUP($A8,test!$A$3:$F$32,4,FALSE)=VLOOKUP(Y$1,test!$A$3:$F$32,3,FALSE)),1,0)</f>
        <v>0</v>
      </c>
      <c r="Z8" s="3">
        <f>IF(AND(VLOOKUP(Z$1,test!$A$3:$G$32,5,FALSE)-VLOOKUP($A8,test!$A$3:$G$32,6,FALSE)&gt;=VLOOKUP(VLOOKUP(Z$1, test!$A$3:$G$32,3,FALSE), test!$J$11:$K$14, 2, FALSE)/1440,VLOOKUP($A8,test!$A$3:$F$32,4,FALSE)=VLOOKUP(Z$1,test!$A$3:$F$32,3,FALSE)),1,0)</f>
        <v>0</v>
      </c>
      <c r="AA8" s="3">
        <f>IF(AND(VLOOKUP(AA$1,test!$A$3:$G$32,5,FALSE)-VLOOKUP($A8,test!$A$3:$G$32,6,FALSE)&gt;=VLOOKUP(VLOOKUP(AA$1, test!$A$3:$G$32,3,FALSE), test!$J$11:$K$14, 2, FALSE)/1440,VLOOKUP($A8,test!$A$3:$F$32,4,FALSE)=VLOOKUP(AA$1,test!$A$3:$F$32,3,FALSE)),1,0)</f>
        <v>0</v>
      </c>
      <c r="AB8" s="3">
        <f>IF(AND(VLOOKUP(AB$1,test!$A$3:$G$32,5,FALSE)-VLOOKUP($A8,test!$A$3:$G$32,6,FALSE)&gt;=VLOOKUP(VLOOKUP(AB$1, test!$A$3:$G$32,3,FALSE), test!$J$11:$K$14, 2, FALSE)/1440,VLOOKUP($A8,test!$A$3:$F$32,4,FALSE)=VLOOKUP(AB$1,test!$A$3:$F$32,3,FALSE)),1,0)</f>
        <v>0</v>
      </c>
      <c r="AC8" s="3">
        <f>IF(AND(VLOOKUP(AC$1,test!$A$3:$G$32,5,FALSE)-VLOOKUP($A8,test!$A$3:$G$32,6,FALSE)&gt;=VLOOKUP(VLOOKUP(AC$1, test!$A$3:$G$32,3,FALSE), test!$J$11:$K$14, 2, FALSE)/1440,VLOOKUP($A8,test!$A$3:$F$32,4,FALSE)=VLOOKUP(AC$1,test!$A$3:$F$32,3,FALSE)),1,0)</f>
        <v>0</v>
      </c>
      <c r="AD8" s="3">
        <f>IF(AND(VLOOKUP(AD$1,test!$A$3:$G$32,5,FALSE)-VLOOKUP($A8,test!$A$3:$G$32,6,FALSE)&gt;=VLOOKUP(VLOOKUP(AD$1, test!$A$3:$G$32,3,FALSE), test!$J$11:$K$14, 2, FALSE)/1440,VLOOKUP($A8,test!$A$3:$F$32,4,FALSE)=VLOOKUP(AD$1,test!$A$3:$F$32,3,FALSE)),1,0)</f>
        <v>0</v>
      </c>
      <c r="AE8" s="3">
        <f>IF(AND(VLOOKUP(AE$1,test!$A$3:$G$32,5,FALSE)-VLOOKUP($A8,test!$A$3:$G$32,6,FALSE)&gt;=VLOOKUP(VLOOKUP(AE$1, test!$A$3:$G$32,3,FALSE), test!$J$11:$K$14, 2, FALSE)/1440,VLOOKUP($A8,test!$A$3:$F$32,4,FALSE)=VLOOKUP(AE$1,test!$A$3:$F$32,3,FALSE)),1,0)</f>
        <v>0</v>
      </c>
      <c r="AF8" s="3">
        <f>IF(AND(VLOOKUP(AF$1,test!$A$3:$G$32,5,FALSE)-VLOOKUP($A8,test!$A$3:$G$32,6,FALSE)&gt;=VLOOKUP(VLOOKUP(AF$1, test!$A$3:$G$32,3,FALSE), test!$J$11:$K$14, 2, FALSE)/1440,VLOOKUP($A8,test!$A$3:$F$32,4,FALSE)=VLOOKUP(AF$1,test!$A$3:$F$32,3,FALSE)),1,0)</f>
        <v>0</v>
      </c>
    </row>
    <row r="9" spans="1:32" x14ac:dyDescent="0.25">
      <c r="A9" t="s">
        <v>14</v>
      </c>
      <c r="B9" s="4">
        <v>1</v>
      </c>
      <c r="C9" s="3">
        <f>IF(AND(VLOOKUP(C$1,test!$A$3:$G$32,5,FALSE)-VLOOKUP($A9,test!$A$3:$G$32,6,FALSE)&gt;=VLOOKUP(VLOOKUP(C$1, test!$A$3:$G$32,3,FALSE), test!$J$11:$K$14, 2, FALSE)/1440,VLOOKUP($A9,test!$A$3:$F$32,4,FALSE)=VLOOKUP(C$1,test!$A$3:$F$32,3,FALSE)),1,0)</f>
        <v>0</v>
      </c>
      <c r="D9" s="3">
        <f>IF(AND(VLOOKUP(D$1,test!$A$3:$G$32,5,FALSE)-VLOOKUP($A9,test!$A$3:$G$32,6,FALSE)&gt;=VLOOKUP(VLOOKUP(D$1, test!$A$3:$G$32,3,FALSE), test!$J$11:$K$14, 2, FALSE)/1440,VLOOKUP($A9,test!$A$3:$F$32,4,FALSE)=VLOOKUP(D$1,test!$A$3:$F$32,3,FALSE)),1,0)</f>
        <v>0</v>
      </c>
      <c r="E9" s="3">
        <f>IF(AND(VLOOKUP(E$1,test!$A$3:$G$32,5,FALSE)-VLOOKUP($A9,test!$A$3:$G$32,6,FALSE)&gt;=VLOOKUP(VLOOKUP(E$1, test!$A$3:$G$32,3,FALSE), test!$J$11:$K$14, 2, FALSE)/1440,VLOOKUP($A9,test!$A$3:$F$32,4,FALSE)=VLOOKUP(E$1,test!$A$3:$F$32,3,FALSE)),1,0)</f>
        <v>0</v>
      </c>
      <c r="F9" s="3">
        <f>IF(AND(VLOOKUP(F$1,test!$A$3:$G$32,5,FALSE)-VLOOKUP($A9,test!$A$3:$G$32,6,FALSE)&gt;=VLOOKUP(VLOOKUP(F$1, test!$A$3:$G$32,3,FALSE), test!$J$11:$K$14, 2, FALSE)/1440,VLOOKUP($A9,test!$A$3:$F$32,4,FALSE)=VLOOKUP(F$1,test!$A$3:$F$32,3,FALSE)),1,0)</f>
        <v>0</v>
      </c>
      <c r="G9" s="3">
        <f>IF(AND(VLOOKUP(G$1,test!$A$3:$G$32,5,FALSE)-VLOOKUP($A9,test!$A$3:$G$32,6,FALSE)&gt;=VLOOKUP(VLOOKUP(G$1, test!$A$3:$G$32,3,FALSE), test!$J$11:$K$14, 2, FALSE)/1440,VLOOKUP($A9,test!$A$3:$F$32,4,FALSE)=VLOOKUP(G$1,test!$A$3:$F$32,3,FALSE)),1,0)</f>
        <v>0</v>
      </c>
      <c r="H9" s="3">
        <f>IF(AND(VLOOKUP(H$1,test!$A$3:$G$32,5,FALSE)-VLOOKUP($A9,test!$A$3:$G$32,6,FALSE)&gt;=VLOOKUP(VLOOKUP(H$1, test!$A$3:$G$32,3,FALSE), test!$J$11:$K$14, 2, FALSE)/1440,VLOOKUP($A9,test!$A$3:$F$32,4,FALSE)=VLOOKUP(H$1,test!$A$3:$F$32,3,FALSE)),1,0)</f>
        <v>0</v>
      </c>
      <c r="I9" s="3">
        <f>IF(AND(VLOOKUP(I$1,test!$A$3:$G$32,5,FALSE)-VLOOKUP($A9,test!$A$3:$G$32,6,FALSE)&gt;=VLOOKUP(VLOOKUP(I$1, test!$A$3:$G$32,3,FALSE), test!$J$11:$K$14, 2, FALSE)/1440,VLOOKUP($A9,test!$A$3:$F$32,4,FALSE)=VLOOKUP(I$1,test!$A$3:$F$32,3,FALSE)),1,0)</f>
        <v>0</v>
      </c>
      <c r="J9" s="3">
        <f>IF(AND(VLOOKUP(J$1,test!$A$3:$G$32,5,FALSE)-VLOOKUP($A9,test!$A$3:$G$32,6,FALSE)&gt;=VLOOKUP(VLOOKUP(J$1, test!$A$3:$G$32,3,FALSE), test!$J$11:$K$14, 2, FALSE)/1440,VLOOKUP($A9,test!$A$3:$F$32,4,FALSE)=VLOOKUP(J$1,test!$A$3:$F$32,3,FALSE)),1,0)</f>
        <v>0</v>
      </c>
      <c r="K9" s="3">
        <f>IF(AND(VLOOKUP(K$1,test!$A$3:$G$32,5,FALSE)-VLOOKUP($A9,test!$A$3:$G$32,6,FALSE)&gt;=VLOOKUP(VLOOKUP(K$1, test!$A$3:$G$32,3,FALSE), test!$J$11:$K$14, 2, FALSE)/1440,VLOOKUP($A9,test!$A$3:$F$32,4,FALSE)=VLOOKUP(K$1,test!$A$3:$F$32,3,FALSE)),1,0)</f>
        <v>0</v>
      </c>
      <c r="L9" s="3">
        <f>IF(AND(VLOOKUP(L$1,test!$A$3:$G$32,5,FALSE)-VLOOKUP($A9,test!$A$3:$G$32,6,FALSE)&gt;=VLOOKUP(VLOOKUP(L$1, test!$A$3:$G$32,3,FALSE), test!$J$11:$K$14, 2, FALSE)/1440,VLOOKUP($A9,test!$A$3:$F$32,4,FALSE)=VLOOKUP(L$1,test!$A$3:$F$32,3,FALSE)),1,0)</f>
        <v>0</v>
      </c>
      <c r="M9" s="3">
        <f>IF(AND(VLOOKUP(M$1,test!$A$3:$G$32,5,FALSE)-VLOOKUP($A9,test!$A$3:$G$32,6,FALSE)&gt;=VLOOKUP(VLOOKUP(M$1, test!$A$3:$G$32,3,FALSE), test!$J$11:$K$14, 2, FALSE)/1440,VLOOKUP($A9,test!$A$3:$F$32,4,FALSE)=VLOOKUP(M$1,test!$A$3:$F$32,3,FALSE)),1,0)</f>
        <v>0</v>
      </c>
      <c r="N9" s="3">
        <f>IF(AND(VLOOKUP(N$1,test!$A$3:$G$32,5,FALSE)-VLOOKUP($A9,test!$A$3:$G$32,6,FALSE)&gt;=VLOOKUP(VLOOKUP(N$1, test!$A$3:$G$32,3,FALSE), test!$J$11:$K$14, 2, FALSE)/1440,VLOOKUP($A9,test!$A$3:$F$32,4,FALSE)=VLOOKUP(N$1,test!$A$3:$F$32,3,FALSE)),1,0)</f>
        <v>0</v>
      </c>
      <c r="O9" s="3">
        <f>IF(AND(VLOOKUP(O$1,test!$A$3:$G$32,5,FALSE)-VLOOKUP($A9,test!$A$3:$G$32,6,FALSE)&gt;=VLOOKUP(VLOOKUP(O$1, test!$A$3:$G$32,3,FALSE), test!$J$11:$K$14, 2, FALSE)/1440,VLOOKUP($A9,test!$A$3:$F$32,4,FALSE)=VLOOKUP(O$1,test!$A$3:$F$32,3,FALSE)),1,0)</f>
        <v>0</v>
      </c>
      <c r="P9" s="3">
        <f>IF(AND(VLOOKUP(P$1,test!$A$3:$G$32,5,FALSE)-VLOOKUP($A9,test!$A$3:$G$32,6,FALSE)&gt;=VLOOKUP(VLOOKUP(P$1, test!$A$3:$G$32,3,FALSE), test!$J$11:$K$14, 2, FALSE)/1440,VLOOKUP($A9,test!$A$3:$F$32,4,FALSE)=VLOOKUP(P$1,test!$A$3:$F$32,3,FALSE)),1,0)</f>
        <v>0</v>
      </c>
      <c r="Q9" s="3">
        <f>IF(AND(VLOOKUP(Q$1,test!$A$3:$G$32,5,FALSE)-VLOOKUP($A9,test!$A$3:$G$32,6,FALSE)&gt;=VLOOKUP(VLOOKUP(Q$1, test!$A$3:$G$32,3,FALSE), test!$J$11:$K$14, 2, FALSE)/1440,VLOOKUP($A9,test!$A$3:$F$32,4,FALSE)=VLOOKUP(Q$1,test!$A$3:$F$32,3,FALSE)),1,0)</f>
        <v>0</v>
      </c>
      <c r="R9" s="3">
        <f>IF(AND(VLOOKUP(R$1,test!$A$3:$G$32,5,FALSE)-VLOOKUP($A9,test!$A$3:$G$32,6,FALSE)&gt;=VLOOKUP(VLOOKUP(R$1, test!$A$3:$G$32,3,FALSE), test!$J$11:$K$14, 2, FALSE)/1440,VLOOKUP($A9,test!$A$3:$F$32,4,FALSE)=VLOOKUP(R$1,test!$A$3:$F$32,3,FALSE)),1,0)</f>
        <v>0</v>
      </c>
      <c r="S9" s="3">
        <f>IF(AND(VLOOKUP(S$1,test!$A$3:$G$32,5,FALSE)-VLOOKUP($A9,test!$A$3:$G$32,6,FALSE)&gt;=VLOOKUP(VLOOKUP(S$1, test!$A$3:$G$32,3,FALSE), test!$J$11:$K$14, 2, FALSE)/1440,VLOOKUP($A9,test!$A$3:$F$32,4,FALSE)=VLOOKUP(S$1,test!$A$3:$F$32,3,FALSE)),1,0)</f>
        <v>0</v>
      </c>
      <c r="T9" s="3">
        <f>IF(AND(VLOOKUP(T$1,test!$A$3:$G$32,5,FALSE)-VLOOKUP($A9,test!$A$3:$G$32,6,FALSE)&gt;=VLOOKUP(VLOOKUP(T$1, test!$A$3:$G$32,3,FALSE), test!$J$11:$K$14, 2, FALSE)/1440,VLOOKUP($A9,test!$A$3:$F$32,4,FALSE)=VLOOKUP(T$1,test!$A$3:$F$32,3,FALSE)),1,0)</f>
        <v>0</v>
      </c>
      <c r="U9" s="3">
        <f>IF(AND(VLOOKUP(U$1,test!$A$3:$G$32,5,FALSE)-VLOOKUP($A9,test!$A$3:$G$32,6,FALSE)&gt;=VLOOKUP(VLOOKUP(U$1, test!$A$3:$G$32,3,FALSE), test!$J$11:$K$14, 2, FALSE)/1440,VLOOKUP($A9,test!$A$3:$F$32,4,FALSE)=VLOOKUP(U$1,test!$A$3:$F$32,3,FALSE)),1,0)</f>
        <v>0</v>
      </c>
      <c r="V9" s="3">
        <f>IF(AND(VLOOKUP(V$1,test!$A$3:$G$32,5,FALSE)-VLOOKUP($A9,test!$A$3:$G$32,6,FALSE)&gt;=VLOOKUP(VLOOKUP(V$1, test!$A$3:$G$32,3,FALSE), test!$J$11:$K$14, 2, FALSE)/1440,VLOOKUP($A9,test!$A$3:$F$32,4,FALSE)=VLOOKUP(V$1,test!$A$3:$F$32,3,FALSE)),1,0)</f>
        <v>0</v>
      </c>
      <c r="W9" s="3">
        <f>IF(AND(VLOOKUP(W$1,test!$A$3:$G$32,5,FALSE)-VLOOKUP($A9,test!$A$3:$G$32,6,FALSE)&gt;=VLOOKUP(VLOOKUP(W$1, test!$A$3:$G$32,3,FALSE), test!$J$11:$K$14, 2, FALSE)/1440,VLOOKUP($A9,test!$A$3:$F$32,4,FALSE)=VLOOKUP(W$1,test!$A$3:$F$32,3,FALSE)),1,0)</f>
        <v>0</v>
      </c>
      <c r="X9" s="3">
        <f>IF(AND(VLOOKUP(X$1,test!$A$3:$G$32,5,FALSE)-VLOOKUP($A9,test!$A$3:$G$32,6,FALSE)&gt;=VLOOKUP(VLOOKUP(X$1, test!$A$3:$G$32,3,FALSE), test!$J$11:$K$14, 2, FALSE)/1440,VLOOKUP($A9,test!$A$3:$F$32,4,FALSE)=VLOOKUP(X$1,test!$A$3:$F$32,3,FALSE)),1,0)</f>
        <v>0</v>
      </c>
      <c r="Y9" s="3">
        <f>IF(AND(VLOOKUP(Y$1,test!$A$3:$G$32,5,FALSE)-VLOOKUP($A9,test!$A$3:$G$32,6,FALSE)&gt;=VLOOKUP(VLOOKUP(Y$1, test!$A$3:$G$32,3,FALSE), test!$J$11:$K$14, 2, FALSE)/1440,VLOOKUP($A9,test!$A$3:$F$32,4,FALSE)=VLOOKUP(Y$1,test!$A$3:$F$32,3,FALSE)),1,0)</f>
        <v>0</v>
      </c>
      <c r="Z9" s="3">
        <f>IF(AND(VLOOKUP(Z$1,test!$A$3:$G$32,5,FALSE)-VLOOKUP($A9,test!$A$3:$G$32,6,FALSE)&gt;=VLOOKUP(VLOOKUP(Z$1, test!$A$3:$G$32,3,FALSE), test!$J$11:$K$14, 2, FALSE)/1440,VLOOKUP($A9,test!$A$3:$F$32,4,FALSE)=VLOOKUP(Z$1,test!$A$3:$F$32,3,FALSE)),1,0)</f>
        <v>0</v>
      </c>
      <c r="AA9" s="3">
        <f>IF(AND(VLOOKUP(AA$1,test!$A$3:$G$32,5,FALSE)-VLOOKUP($A9,test!$A$3:$G$32,6,FALSE)&gt;=VLOOKUP(VLOOKUP(AA$1, test!$A$3:$G$32,3,FALSE), test!$J$11:$K$14, 2, FALSE)/1440,VLOOKUP($A9,test!$A$3:$F$32,4,FALSE)=VLOOKUP(AA$1,test!$A$3:$F$32,3,FALSE)),1,0)</f>
        <v>0</v>
      </c>
      <c r="AB9" s="3">
        <f>IF(AND(VLOOKUP(AB$1,test!$A$3:$G$32,5,FALSE)-VLOOKUP($A9,test!$A$3:$G$32,6,FALSE)&gt;=VLOOKUP(VLOOKUP(AB$1, test!$A$3:$G$32,3,FALSE), test!$J$11:$K$14, 2, FALSE)/1440,VLOOKUP($A9,test!$A$3:$F$32,4,FALSE)=VLOOKUP(AB$1,test!$A$3:$F$32,3,FALSE)),1,0)</f>
        <v>0</v>
      </c>
      <c r="AC9" s="3">
        <f>IF(AND(VLOOKUP(AC$1,test!$A$3:$G$32,5,FALSE)-VLOOKUP($A9,test!$A$3:$G$32,6,FALSE)&gt;=VLOOKUP(VLOOKUP(AC$1, test!$A$3:$G$32,3,FALSE), test!$J$11:$K$14, 2, FALSE)/1440,VLOOKUP($A9,test!$A$3:$F$32,4,FALSE)=VLOOKUP(AC$1,test!$A$3:$F$32,3,FALSE)),1,0)</f>
        <v>0</v>
      </c>
      <c r="AD9" s="3">
        <f>IF(AND(VLOOKUP(AD$1,test!$A$3:$G$32,5,FALSE)-VLOOKUP($A9,test!$A$3:$G$32,6,FALSE)&gt;=VLOOKUP(VLOOKUP(AD$1, test!$A$3:$G$32,3,FALSE), test!$J$11:$K$14, 2, FALSE)/1440,VLOOKUP($A9,test!$A$3:$F$32,4,FALSE)=VLOOKUP(AD$1,test!$A$3:$F$32,3,FALSE)),1,0)</f>
        <v>0</v>
      </c>
      <c r="AE9" s="3">
        <f>IF(AND(VLOOKUP(AE$1,test!$A$3:$G$32,5,FALSE)-VLOOKUP($A9,test!$A$3:$G$32,6,FALSE)&gt;=VLOOKUP(VLOOKUP(AE$1, test!$A$3:$G$32,3,FALSE), test!$J$11:$K$14, 2, FALSE)/1440,VLOOKUP($A9,test!$A$3:$F$32,4,FALSE)=VLOOKUP(AE$1,test!$A$3:$F$32,3,FALSE)),1,0)</f>
        <v>0</v>
      </c>
      <c r="AF9" s="3">
        <f>IF(AND(VLOOKUP(AF$1,test!$A$3:$G$32,5,FALSE)-VLOOKUP($A9,test!$A$3:$G$32,6,FALSE)&gt;=VLOOKUP(VLOOKUP(AF$1, test!$A$3:$G$32,3,FALSE), test!$J$11:$K$14, 2, FALSE)/1440,VLOOKUP($A9,test!$A$3:$F$32,4,FALSE)=VLOOKUP(AF$1,test!$A$3:$F$32,3,FALSE)),1,0)</f>
        <v>0</v>
      </c>
    </row>
    <row r="10" spans="1:32" x14ac:dyDescent="0.25">
      <c r="A10" t="s">
        <v>15</v>
      </c>
      <c r="B10" s="4">
        <v>1</v>
      </c>
      <c r="C10" s="3">
        <f>IF(AND(VLOOKUP(C$1,test!$A$3:$G$32,5,FALSE)-VLOOKUP($A10,test!$A$3:$G$32,6,FALSE)&gt;=VLOOKUP(VLOOKUP(C$1, test!$A$3:$G$32,3,FALSE), test!$J$11:$K$14, 2, FALSE)/1440,VLOOKUP($A10,test!$A$3:$F$32,4,FALSE)=VLOOKUP(C$1,test!$A$3:$F$32,3,FALSE)),1,0)</f>
        <v>0</v>
      </c>
      <c r="D10" s="3">
        <f>IF(AND(VLOOKUP(D$1,test!$A$3:$G$32,5,FALSE)-VLOOKUP($A10,test!$A$3:$G$32,6,FALSE)&gt;=VLOOKUP(VLOOKUP(D$1, test!$A$3:$G$32,3,FALSE), test!$J$11:$K$14, 2, FALSE)/1440,VLOOKUP($A10,test!$A$3:$F$32,4,FALSE)=VLOOKUP(D$1,test!$A$3:$F$32,3,FALSE)),1,0)</f>
        <v>0</v>
      </c>
      <c r="E10" s="3">
        <f>IF(AND(VLOOKUP(E$1,test!$A$3:$G$32,5,FALSE)-VLOOKUP($A10,test!$A$3:$G$32,6,FALSE)&gt;=VLOOKUP(VLOOKUP(E$1, test!$A$3:$G$32,3,FALSE), test!$J$11:$K$14, 2, FALSE)/1440,VLOOKUP($A10,test!$A$3:$F$32,4,FALSE)=VLOOKUP(E$1,test!$A$3:$F$32,3,FALSE)),1,0)</f>
        <v>0</v>
      </c>
      <c r="F10" s="3">
        <f>IF(AND(VLOOKUP(F$1,test!$A$3:$G$32,5,FALSE)-VLOOKUP($A10,test!$A$3:$G$32,6,FALSE)&gt;=VLOOKUP(VLOOKUP(F$1, test!$A$3:$G$32,3,FALSE), test!$J$11:$K$14, 2, FALSE)/1440,VLOOKUP($A10,test!$A$3:$F$32,4,FALSE)=VLOOKUP(F$1,test!$A$3:$F$32,3,FALSE)),1,0)</f>
        <v>0</v>
      </c>
      <c r="G10" s="3">
        <f>IF(AND(VLOOKUP(G$1,test!$A$3:$G$32,5,FALSE)-VLOOKUP($A10,test!$A$3:$G$32,6,FALSE)&gt;=VLOOKUP(VLOOKUP(G$1, test!$A$3:$G$32,3,FALSE), test!$J$11:$K$14, 2, FALSE)/1440,VLOOKUP($A10,test!$A$3:$F$32,4,FALSE)=VLOOKUP(G$1,test!$A$3:$F$32,3,FALSE)),1,0)</f>
        <v>0</v>
      </c>
      <c r="H10" s="3">
        <f>IF(AND(VLOOKUP(H$1,test!$A$3:$G$32,5,FALSE)-VLOOKUP($A10,test!$A$3:$G$32,6,FALSE)&gt;=VLOOKUP(VLOOKUP(H$1, test!$A$3:$G$32,3,FALSE), test!$J$11:$K$14, 2, FALSE)/1440,VLOOKUP($A10,test!$A$3:$F$32,4,FALSE)=VLOOKUP(H$1,test!$A$3:$F$32,3,FALSE)),1,0)</f>
        <v>0</v>
      </c>
      <c r="I10" s="3">
        <f>IF(AND(VLOOKUP(I$1,test!$A$3:$G$32,5,FALSE)-VLOOKUP($A10,test!$A$3:$G$32,6,FALSE)&gt;=VLOOKUP(VLOOKUP(I$1, test!$A$3:$G$32,3,FALSE), test!$J$11:$K$14, 2, FALSE)/1440,VLOOKUP($A10,test!$A$3:$F$32,4,FALSE)=VLOOKUP(I$1,test!$A$3:$F$32,3,FALSE)),1,0)</f>
        <v>0</v>
      </c>
      <c r="J10" s="3">
        <f>IF(AND(VLOOKUP(J$1,test!$A$3:$G$32,5,FALSE)-VLOOKUP($A10,test!$A$3:$G$32,6,FALSE)&gt;=VLOOKUP(VLOOKUP(J$1, test!$A$3:$G$32,3,FALSE), test!$J$11:$K$14, 2, FALSE)/1440,VLOOKUP($A10,test!$A$3:$F$32,4,FALSE)=VLOOKUP(J$1,test!$A$3:$F$32,3,FALSE)),1,0)</f>
        <v>0</v>
      </c>
      <c r="K10" s="3">
        <f>IF(AND(VLOOKUP(K$1,test!$A$3:$G$32,5,FALSE)-VLOOKUP($A10,test!$A$3:$G$32,6,FALSE)&gt;=VLOOKUP(VLOOKUP(K$1, test!$A$3:$G$32,3,FALSE), test!$J$11:$K$14, 2, FALSE)/1440,VLOOKUP($A10,test!$A$3:$F$32,4,FALSE)=VLOOKUP(K$1,test!$A$3:$F$32,3,FALSE)),1,0)</f>
        <v>0</v>
      </c>
      <c r="L10" s="3">
        <f>IF(AND(VLOOKUP(L$1,test!$A$3:$G$32,5,FALSE)-VLOOKUP($A10,test!$A$3:$G$32,6,FALSE)&gt;=VLOOKUP(VLOOKUP(L$1, test!$A$3:$G$32,3,FALSE), test!$J$11:$K$14, 2, FALSE)/1440,VLOOKUP($A10,test!$A$3:$F$32,4,FALSE)=VLOOKUP(L$1,test!$A$3:$F$32,3,FALSE)),1,0)</f>
        <v>0</v>
      </c>
      <c r="M10" s="3">
        <f>IF(AND(VLOOKUP(M$1,test!$A$3:$G$32,5,FALSE)-VLOOKUP($A10,test!$A$3:$G$32,6,FALSE)&gt;=VLOOKUP(VLOOKUP(M$1, test!$A$3:$G$32,3,FALSE), test!$J$11:$K$14, 2, FALSE)/1440,VLOOKUP($A10,test!$A$3:$F$32,4,FALSE)=VLOOKUP(M$1,test!$A$3:$F$32,3,FALSE)),1,0)</f>
        <v>0</v>
      </c>
      <c r="N10" s="3">
        <f>IF(AND(VLOOKUP(N$1,test!$A$3:$G$32,5,FALSE)-VLOOKUP($A10,test!$A$3:$G$32,6,FALSE)&gt;=VLOOKUP(VLOOKUP(N$1, test!$A$3:$G$32,3,FALSE), test!$J$11:$K$14, 2, FALSE)/1440,VLOOKUP($A10,test!$A$3:$F$32,4,FALSE)=VLOOKUP(N$1,test!$A$3:$F$32,3,FALSE)),1,0)</f>
        <v>0</v>
      </c>
      <c r="O10" s="3">
        <f>IF(AND(VLOOKUP(O$1,test!$A$3:$G$32,5,FALSE)-VLOOKUP($A10,test!$A$3:$G$32,6,FALSE)&gt;=VLOOKUP(VLOOKUP(O$1, test!$A$3:$G$32,3,FALSE), test!$J$11:$K$14, 2, FALSE)/1440,VLOOKUP($A10,test!$A$3:$F$32,4,FALSE)=VLOOKUP(O$1,test!$A$3:$F$32,3,FALSE)),1,0)</f>
        <v>0</v>
      </c>
      <c r="P10" s="3">
        <f>IF(AND(VLOOKUP(P$1,test!$A$3:$G$32,5,FALSE)-VLOOKUP($A10,test!$A$3:$G$32,6,FALSE)&gt;=VLOOKUP(VLOOKUP(P$1, test!$A$3:$G$32,3,FALSE), test!$J$11:$K$14, 2, FALSE)/1440,VLOOKUP($A10,test!$A$3:$F$32,4,FALSE)=VLOOKUP(P$1,test!$A$3:$F$32,3,FALSE)),1,0)</f>
        <v>0</v>
      </c>
      <c r="Q10" s="3">
        <f>IF(AND(VLOOKUP(Q$1,test!$A$3:$G$32,5,FALSE)-VLOOKUP($A10,test!$A$3:$G$32,6,FALSE)&gt;=VLOOKUP(VLOOKUP(Q$1, test!$A$3:$G$32,3,FALSE), test!$J$11:$K$14, 2, FALSE)/1440,VLOOKUP($A10,test!$A$3:$F$32,4,FALSE)=VLOOKUP(Q$1,test!$A$3:$F$32,3,FALSE)),1,0)</f>
        <v>0</v>
      </c>
      <c r="R10" s="3">
        <f>IF(AND(VLOOKUP(R$1,test!$A$3:$G$32,5,FALSE)-VLOOKUP($A10,test!$A$3:$G$32,6,FALSE)&gt;=VLOOKUP(VLOOKUP(R$1, test!$A$3:$G$32,3,FALSE), test!$J$11:$K$14, 2, FALSE)/1440,VLOOKUP($A10,test!$A$3:$F$32,4,FALSE)=VLOOKUP(R$1,test!$A$3:$F$32,3,FALSE)),1,0)</f>
        <v>0</v>
      </c>
      <c r="S10" s="3">
        <f>IF(AND(VLOOKUP(S$1,test!$A$3:$G$32,5,FALSE)-VLOOKUP($A10,test!$A$3:$G$32,6,FALSE)&gt;=VLOOKUP(VLOOKUP(S$1, test!$A$3:$G$32,3,FALSE), test!$J$11:$K$14, 2, FALSE)/1440,VLOOKUP($A10,test!$A$3:$F$32,4,FALSE)=VLOOKUP(S$1,test!$A$3:$F$32,3,FALSE)),1,0)</f>
        <v>0</v>
      </c>
      <c r="T10" s="3">
        <f>IF(AND(VLOOKUP(T$1,test!$A$3:$G$32,5,FALSE)-VLOOKUP($A10,test!$A$3:$G$32,6,FALSE)&gt;=VLOOKUP(VLOOKUP(T$1, test!$A$3:$G$32,3,FALSE), test!$J$11:$K$14, 2, FALSE)/1440,VLOOKUP($A10,test!$A$3:$F$32,4,FALSE)=VLOOKUP(T$1,test!$A$3:$F$32,3,FALSE)),1,0)</f>
        <v>0</v>
      </c>
      <c r="U10" s="3">
        <f>IF(AND(VLOOKUP(U$1,test!$A$3:$G$32,5,FALSE)-VLOOKUP($A10,test!$A$3:$G$32,6,FALSE)&gt;=VLOOKUP(VLOOKUP(U$1, test!$A$3:$G$32,3,FALSE), test!$J$11:$K$14, 2, FALSE)/1440,VLOOKUP($A10,test!$A$3:$F$32,4,FALSE)=VLOOKUP(U$1,test!$A$3:$F$32,3,FALSE)),1,0)</f>
        <v>0</v>
      </c>
      <c r="V10" s="3">
        <f>IF(AND(VLOOKUP(V$1,test!$A$3:$G$32,5,FALSE)-VLOOKUP($A10,test!$A$3:$G$32,6,FALSE)&gt;=VLOOKUP(VLOOKUP(V$1, test!$A$3:$G$32,3,FALSE), test!$J$11:$K$14, 2, FALSE)/1440,VLOOKUP($A10,test!$A$3:$F$32,4,FALSE)=VLOOKUP(V$1,test!$A$3:$F$32,3,FALSE)),1,0)</f>
        <v>0</v>
      </c>
      <c r="W10" s="3">
        <f>IF(AND(VLOOKUP(W$1,test!$A$3:$G$32,5,FALSE)-VLOOKUP($A10,test!$A$3:$G$32,6,FALSE)&gt;=VLOOKUP(VLOOKUP(W$1, test!$A$3:$G$32,3,FALSE), test!$J$11:$K$14, 2, FALSE)/1440,VLOOKUP($A10,test!$A$3:$F$32,4,FALSE)=VLOOKUP(W$1,test!$A$3:$F$32,3,FALSE)),1,0)</f>
        <v>0</v>
      </c>
      <c r="X10" s="3">
        <f>IF(AND(VLOOKUP(X$1,test!$A$3:$G$32,5,FALSE)-VLOOKUP($A10,test!$A$3:$G$32,6,FALSE)&gt;=VLOOKUP(VLOOKUP(X$1, test!$A$3:$G$32,3,FALSE), test!$J$11:$K$14, 2, FALSE)/1440,VLOOKUP($A10,test!$A$3:$F$32,4,FALSE)=VLOOKUP(X$1,test!$A$3:$F$32,3,FALSE)),1,0)</f>
        <v>0</v>
      </c>
      <c r="Y10" s="3">
        <f>IF(AND(VLOOKUP(Y$1,test!$A$3:$G$32,5,FALSE)-VLOOKUP($A10,test!$A$3:$G$32,6,FALSE)&gt;=VLOOKUP(VLOOKUP(Y$1, test!$A$3:$G$32,3,FALSE), test!$J$11:$K$14, 2, FALSE)/1440,VLOOKUP($A10,test!$A$3:$F$32,4,FALSE)=VLOOKUP(Y$1,test!$A$3:$F$32,3,FALSE)),1,0)</f>
        <v>0</v>
      </c>
      <c r="Z10" s="3">
        <f>IF(AND(VLOOKUP(Z$1,test!$A$3:$G$32,5,FALSE)-VLOOKUP($A10,test!$A$3:$G$32,6,FALSE)&gt;=VLOOKUP(VLOOKUP(Z$1, test!$A$3:$G$32,3,FALSE), test!$J$11:$K$14, 2, FALSE)/1440,VLOOKUP($A10,test!$A$3:$F$32,4,FALSE)=VLOOKUP(Z$1,test!$A$3:$F$32,3,FALSE)),1,0)</f>
        <v>0</v>
      </c>
      <c r="AA10" s="3">
        <f>IF(AND(VLOOKUP(AA$1,test!$A$3:$G$32,5,FALSE)-VLOOKUP($A10,test!$A$3:$G$32,6,FALSE)&gt;=VLOOKUP(VLOOKUP(AA$1, test!$A$3:$G$32,3,FALSE), test!$J$11:$K$14, 2, FALSE)/1440,VLOOKUP($A10,test!$A$3:$F$32,4,FALSE)=VLOOKUP(AA$1,test!$A$3:$F$32,3,FALSE)),1,0)</f>
        <v>0</v>
      </c>
      <c r="AB10" s="3">
        <f>IF(AND(VLOOKUP(AB$1,test!$A$3:$G$32,5,FALSE)-VLOOKUP($A10,test!$A$3:$G$32,6,FALSE)&gt;=VLOOKUP(VLOOKUP(AB$1, test!$A$3:$G$32,3,FALSE), test!$J$11:$K$14, 2, FALSE)/1440,VLOOKUP($A10,test!$A$3:$F$32,4,FALSE)=VLOOKUP(AB$1,test!$A$3:$F$32,3,FALSE)),1,0)</f>
        <v>0</v>
      </c>
      <c r="AC10" s="3">
        <f>IF(AND(VLOOKUP(AC$1,test!$A$3:$G$32,5,FALSE)-VLOOKUP($A10,test!$A$3:$G$32,6,FALSE)&gt;=VLOOKUP(VLOOKUP(AC$1, test!$A$3:$G$32,3,FALSE), test!$J$11:$K$14, 2, FALSE)/1440,VLOOKUP($A10,test!$A$3:$F$32,4,FALSE)=VLOOKUP(AC$1,test!$A$3:$F$32,3,FALSE)),1,0)</f>
        <v>0</v>
      </c>
      <c r="AD10" s="3">
        <f>IF(AND(VLOOKUP(AD$1,test!$A$3:$G$32,5,FALSE)-VLOOKUP($A10,test!$A$3:$G$32,6,FALSE)&gt;=VLOOKUP(VLOOKUP(AD$1, test!$A$3:$G$32,3,FALSE), test!$J$11:$K$14, 2, FALSE)/1440,VLOOKUP($A10,test!$A$3:$F$32,4,FALSE)=VLOOKUP(AD$1,test!$A$3:$F$32,3,FALSE)),1,0)</f>
        <v>0</v>
      </c>
      <c r="AE10" s="3">
        <f>IF(AND(VLOOKUP(AE$1,test!$A$3:$G$32,5,FALSE)-VLOOKUP($A10,test!$A$3:$G$32,6,FALSE)&gt;=VLOOKUP(VLOOKUP(AE$1, test!$A$3:$G$32,3,FALSE), test!$J$11:$K$14, 2, FALSE)/1440,VLOOKUP($A10,test!$A$3:$F$32,4,FALSE)=VLOOKUP(AE$1,test!$A$3:$F$32,3,FALSE)),1,0)</f>
        <v>0</v>
      </c>
      <c r="AF10" s="3">
        <f>IF(AND(VLOOKUP(AF$1,test!$A$3:$G$32,5,FALSE)-VLOOKUP($A10,test!$A$3:$G$32,6,FALSE)&gt;=VLOOKUP(VLOOKUP(AF$1, test!$A$3:$G$32,3,FALSE), test!$J$11:$K$14, 2, FALSE)/1440,VLOOKUP($A10,test!$A$3:$F$32,4,FALSE)=VLOOKUP(AF$1,test!$A$3:$F$32,3,FALSE)),1,0)</f>
        <v>0</v>
      </c>
    </row>
    <row r="11" spans="1:32" x14ac:dyDescent="0.25">
      <c r="A11" t="s">
        <v>18</v>
      </c>
      <c r="B11" s="4">
        <v>1</v>
      </c>
      <c r="C11" s="3">
        <f>IF(AND(VLOOKUP(C$1,test!$A$3:$G$32,5,FALSE)-VLOOKUP($A11,test!$A$3:$G$32,6,FALSE)&gt;=VLOOKUP(VLOOKUP(C$1, test!$A$3:$G$32,3,FALSE), test!$J$11:$K$14, 2, FALSE)/1440,VLOOKUP($A11,test!$A$3:$F$32,4,FALSE)=VLOOKUP(C$1,test!$A$3:$F$32,3,FALSE)),1,0)</f>
        <v>0</v>
      </c>
      <c r="D11" s="3">
        <f>IF(AND(VLOOKUP(D$1,test!$A$3:$G$32,5,FALSE)-VLOOKUP($A11,test!$A$3:$G$32,6,FALSE)&gt;=VLOOKUP(VLOOKUP(D$1, test!$A$3:$G$32,3,FALSE), test!$J$11:$K$14, 2, FALSE)/1440,VLOOKUP($A11,test!$A$3:$F$32,4,FALSE)=VLOOKUP(D$1,test!$A$3:$F$32,3,FALSE)),1,0)</f>
        <v>0</v>
      </c>
      <c r="E11" s="3">
        <f>IF(AND(VLOOKUP(E$1,test!$A$3:$G$32,5,FALSE)-VLOOKUP($A11,test!$A$3:$G$32,6,FALSE)&gt;=VLOOKUP(VLOOKUP(E$1, test!$A$3:$G$32,3,FALSE), test!$J$11:$K$14, 2, FALSE)/1440,VLOOKUP($A11,test!$A$3:$F$32,4,FALSE)=VLOOKUP(E$1,test!$A$3:$F$32,3,FALSE)),1,0)</f>
        <v>0</v>
      </c>
      <c r="F11" s="3">
        <f>IF(AND(VLOOKUP(F$1,test!$A$3:$G$32,5,FALSE)-VLOOKUP($A11,test!$A$3:$G$32,6,FALSE)&gt;=VLOOKUP(VLOOKUP(F$1, test!$A$3:$G$32,3,FALSE), test!$J$11:$K$14, 2, FALSE)/1440,VLOOKUP($A11,test!$A$3:$F$32,4,FALSE)=VLOOKUP(F$1,test!$A$3:$F$32,3,FALSE)),1,0)</f>
        <v>0</v>
      </c>
      <c r="G11" s="3">
        <f>IF(AND(VLOOKUP(G$1,test!$A$3:$G$32,5,FALSE)-VLOOKUP($A11,test!$A$3:$G$32,6,FALSE)&gt;=VLOOKUP(VLOOKUP(G$1, test!$A$3:$G$32,3,FALSE), test!$J$11:$K$14, 2, FALSE)/1440,VLOOKUP($A11,test!$A$3:$F$32,4,FALSE)=VLOOKUP(G$1,test!$A$3:$F$32,3,FALSE)),1,0)</f>
        <v>0</v>
      </c>
      <c r="H11" s="3">
        <f>IF(AND(VLOOKUP(H$1,test!$A$3:$G$32,5,FALSE)-VLOOKUP($A11,test!$A$3:$G$32,6,FALSE)&gt;=VLOOKUP(VLOOKUP(H$1, test!$A$3:$G$32,3,FALSE), test!$J$11:$K$14, 2, FALSE)/1440,VLOOKUP($A11,test!$A$3:$F$32,4,FALSE)=VLOOKUP(H$1,test!$A$3:$F$32,3,FALSE)),1,0)</f>
        <v>0</v>
      </c>
      <c r="I11" s="3">
        <f>IF(AND(VLOOKUP(I$1,test!$A$3:$G$32,5,FALSE)-VLOOKUP($A11,test!$A$3:$G$32,6,FALSE)&gt;=VLOOKUP(VLOOKUP(I$1, test!$A$3:$G$32,3,FALSE), test!$J$11:$K$14, 2, FALSE)/1440,VLOOKUP($A11,test!$A$3:$F$32,4,FALSE)=VLOOKUP(I$1,test!$A$3:$F$32,3,FALSE)),1,0)</f>
        <v>0</v>
      </c>
      <c r="J11" s="3">
        <f>IF(AND(VLOOKUP(J$1,test!$A$3:$G$32,5,FALSE)-VLOOKUP($A11,test!$A$3:$G$32,6,FALSE)&gt;=VLOOKUP(VLOOKUP(J$1, test!$A$3:$G$32,3,FALSE), test!$J$11:$K$14, 2, FALSE)/1440,VLOOKUP($A11,test!$A$3:$F$32,4,FALSE)=VLOOKUP(J$1,test!$A$3:$F$32,3,FALSE)),1,0)</f>
        <v>0</v>
      </c>
      <c r="K11" s="3">
        <f>IF(AND(VLOOKUP(K$1,test!$A$3:$G$32,5,FALSE)-VLOOKUP($A11,test!$A$3:$G$32,6,FALSE)&gt;=VLOOKUP(VLOOKUP(K$1, test!$A$3:$G$32,3,FALSE), test!$J$11:$K$14, 2, FALSE)/1440,VLOOKUP($A11,test!$A$3:$F$32,4,FALSE)=VLOOKUP(K$1,test!$A$3:$F$32,3,FALSE)),1,0)</f>
        <v>0</v>
      </c>
      <c r="L11" s="3">
        <f>IF(AND(VLOOKUP(L$1,test!$A$3:$G$32,5,FALSE)-VLOOKUP($A11,test!$A$3:$G$32,6,FALSE)&gt;=VLOOKUP(VLOOKUP(L$1, test!$A$3:$G$32,3,FALSE), test!$J$11:$K$14, 2, FALSE)/1440,VLOOKUP($A11,test!$A$3:$F$32,4,FALSE)=VLOOKUP(L$1,test!$A$3:$F$32,3,FALSE)),1,0)</f>
        <v>0</v>
      </c>
      <c r="M11" s="3">
        <f>IF(AND(VLOOKUP(M$1,test!$A$3:$G$32,5,FALSE)-VLOOKUP($A11,test!$A$3:$G$32,6,FALSE)&gt;=VLOOKUP(VLOOKUP(M$1, test!$A$3:$G$32,3,FALSE), test!$J$11:$K$14, 2, FALSE)/1440,VLOOKUP($A11,test!$A$3:$F$32,4,FALSE)=VLOOKUP(M$1,test!$A$3:$F$32,3,FALSE)),1,0)</f>
        <v>0</v>
      </c>
      <c r="N11" s="3">
        <f>IF(AND(VLOOKUP(N$1,test!$A$3:$G$32,5,FALSE)-VLOOKUP($A11,test!$A$3:$G$32,6,FALSE)&gt;=VLOOKUP(VLOOKUP(N$1, test!$A$3:$G$32,3,FALSE), test!$J$11:$K$14, 2, FALSE)/1440,VLOOKUP($A11,test!$A$3:$F$32,4,FALSE)=VLOOKUP(N$1,test!$A$3:$F$32,3,FALSE)),1,0)</f>
        <v>0</v>
      </c>
      <c r="O11" s="3">
        <f>IF(AND(VLOOKUP(O$1,test!$A$3:$G$32,5,FALSE)-VLOOKUP($A11,test!$A$3:$G$32,6,FALSE)&gt;=VLOOKUP(VLOOKUP(O$1, test!$A$3:$G$32,3,FALSE), test!$J$11:$K$14, 2, FALSE)/1440,VLOOKUP($A11,test!$A$3:$F$32,4,FALSE)=VLOOKUP(O$1,test!$A$3:$F$32,3,FALSE)),1,0)</f>
        <v>0</v>
      </c>
      <c r="P11" s="3">
        <f>IF(AND(VLOOKUP(P$1,test!$A$3:$G$32,5,FALSE)-VLOOKUP($A11,test!$A$3:$G$32,6,FALSE)&gt;=VLOOKUP(VLOOKUP(P$1, test!$A$3:$G$32,3,FALSE), test!$J$11:$K$14, 2, FALSE)/1440,VLOOKUP($A11,test!$A$3:$F$32,4,FALSE)=VLOOKUP(P$1,test!$A$3:$F$32,3,FALSE)),1,0)</f>
        <v>0</v>
      </c>
      <c r="Q11" s="3">
        <f>IF(AND(VLOOKUP(Q$1,test!$A$3:$G$32,5,FALSE)-VLOOKUP($A11,test!$A$3:$G$32,6,FALSE)&gt;=VLOOKUP(VLOOKUP(Q$1, test!$A$3:$G$32,3,FALSE), test!$J$11:$K$14, 2, FALSE)/1440,VLOOKUP($A11,test!$A$3:$F$32,4,FALSE)=VLOOKUP(Q$1,test!$A$3:$F$32,3,FALSE)),1,0)</f>
        <v>0</v>
      </c>
      <c r="R11" s="3">
        <f>IF(AND(VLOOKUP(R$1,test!$A$3:$G$32,5,FALSE)-VLOOKUP($A11,test!$A$3:$G$32,6,FALSE)&gt;=VLOOKUP(VLOOKUP(R$1, test!$A$3:$G$32,3,FALSE), test!$J$11:$K$14, 2, FALSE)/1440,VLOOKUP($A11,test!$A$3:$F$32,4,FALSE)=VLOOKUP(R$1,test!$A$3:$F$32,3,FALSE)),1,0)</f>
        <v>0</v>
      </c>
      <c r="S11" s="3">
        <f>IF(AND(VLOOKUP(S$1,test!$A$3:$G$32,5,FALSE)-VLOOKUP($A11,test!$A$3:$G$32,6,FALSE)&gt;=VLOOKUP(VLOOKUP(S$1, test!$A$3:$G$32,3,FALSE), test!$J$11:$K$14, 2, FALSE)/1440,VLOOKUP($A11,test!$A$3:$F$32,4,FALSE)=VLOOKUP(S$1,test!$A$3:$F$32,3,FALSE)),1,0)</f>
        <v>0</v>
      </c>
      <c r="T11" s="3">
        <f>IF(AND(VLOOKUP(T$1,test!$A$3:$G$32,5,FALSE)-VLOOKUP($A11,test!$A$3:$G$32,6,FALSE)&gt;=VLOOKUP(VLOOKUP(T$1, test!$A$3:$G$32,3,FALSE), test!$J$11:$K$14, 2, FALSE)/1440,VLOOKUP($A11,test!$A$3:$F$32,4,FALSE)=VLOOKUP(T$1,test!$A$3:$F$32,3,FALSE)),1,0)</f>
        <v>0</v>
      </c>
      <c r="U11" s="3">
        <f>IF(AND(VLOOKUP(U$1,test!$A$3:$G$32,5,FALSE)-VLOOKUP($A11,test!$A$3:$G$32,6,FALSE)&gt;=VLOOKUP(VLOOKUP(U$1, test!$A$3:$G$32,3,FALSE), test!$J$11:$K$14, 2, FALSE)/1440,VLOOKUP($A11,test!$A$3:$F$32,4,FALSE)=VLOOKUP(U$1,test!$A$3:$F$32,3,FALSE)),1,0)</f>
        <v>0</v>
      </c>
      <c r="V11" s="3">
        <f>IF(AND(VLOOKUP(V$1,test!$A$3:$G$32,5,FALSE)-VLOOKUP($A11,test!$A$3:$G$32,6,FALSE)&gt;=VLOOKUP(VLOOKUP(V$1, test!$A$3:$G$32,3,FALSE), test!$J$11:$K$14, 2, FALSE)/1440,VLOOKUP($A11,test!$A$3:$F$32,4,FALSE)=VLOOKUP(V$1,test!$A$3:$F$32,3,FALSE)),1,0)</f>
        <v>0</v>
      </c>
      <c r="W11" s="3">
        <f>IF(AND(VLOOKUP(W$1,test!$A$3:$G$32,5,FALSE)-VLOOKUP($A11,test!$A$3:$G$32,6,FALSE)&gt;=VLOOKUP(VLOOKUP(W$1, test!$A$3:$G$32,3,FALSE), test!$J$11:$K$14, 2, FALSE)/1440,VLOOKUP($A11,test!$A$3:$F$32,4,FALSE)=VLOOKUP(W$1,test!$A$3:$F$32,3,FALSE)),1,0)</f>
        <v>0</v>
      </c>
      <c r="X11" s="3">
        <f>IF(AND(VLOOKUP(X$1,test!$A$3:$G$32,5,FALSE)-VLOOKUP($A11,test!$A$3:$G$32,6,FALSE)&gt;=VLOOKUP(VLOOKUP(X$1, test!$A$3:$G$32,3,FALSE), test!$J$11:$K$14, 2, FALSE)/1440,VLOOKUP($A11,test!$A$3:$F$32,4,FALSE)=VLOOKUP(X$1,test!$A$3:$F$32,3,FALSE)),1,0)</f>
        <v>0</v>
      </c>
      <c r="Y11" s="3">
        <f>IF(AND(VLOOKUP(Y$1,test!$A$3:$G$32,5,FALSE)-VLOOKUP($A11,test!$A$3:$G$32,6,FALSE)&gt;=VLOOKUP(VLOOKUP(Y$1, test!$A$3:$G$32,3,FALSE), test!$J$11:$K$14, 2, FALSE)/1440,VLOOKUP($A11,test!$A$3:$F$32,4,FALSE)=VLOOKUP(Y$1,test!$A$3:$F$32,3,FALSE)),1,0)</f>
        <v>0</v>
      </c>
      <c r="Z11" s="3">
        <f>IF(AND(VLOOKUP(Z$1,test!$A$3:$G$32,5,FALSE)-VLOOKUP($A11,test!$A$3:$G$32,6,FALSE)&gt;=VLOOKUP(VLOOKUP(Z$1, test!$A$3:$G$32,3,FALSE), test!$J$11:$K$14, 2, FALSE)/1440,VLOOKUP($A11,test!$A$3:$F$32,4,FALSE)=VLOOKUP(Z$1,test!$A$3:$F$32,3,FALSE)),1,0)</f>
        <v>1</v>
      </c>
      <c r="AA11" s="3">
        <f>IF(AND(VLOOKUP(AA$1,test!$A$3:$G$32,5,FALSE)-VLOOKUP($A11,test!$A$3:$G$32,6,FALSE)&gt;=VLOOKUP(VLOOKUP(AA$1, test!$A$3:$G$32,3,FALSE), test!$J$11:$K$14, 2, FALSE)/1440,VLOOKUP($A11,test!$A$3:$F$32,4,FALSE)=VLOOKUP(AA$1,test!$A$3:$F$32,3,FALSE)),1,0)</f>
        <v>1</v>
      </c>
      <c r="AB11" s="3">
        <f>IF(AND(VLOOKUP(AB$1,test!$A$3:$G$32,5,FALSE)-VLOOKUP($A11,test!$A$3:$G$32,6,FALSE)&gt;=VLOOKUP(VLOOKUP(AB$1, test!$A$3:$G$32,3,FALSE), test!$J$11:$K$14, 2, FALSE)/1440,VLOOKUP($A11,test!$A$3:$F$32,4,FALSE)=VLOOKUP(AB$1,test!$A$3:$F$32,3,FALSE)),1,0)</f>
        <v>1</v>
      </c>
      <c r="AC11" s="3">
        <f>IF(AND(VLOOKUP(AC$1,test!$A$3:$G$32,5,FALSE)-VLOOKUP($A11,test!$A$3:$G$32,6,FALSE)&gt;=VLOOKUP(VLOOKUP(AC$1, test!$A$3:$G$32,3,FALSE), test!$J$11:$K$14, 2, FALSE)/1440,VLOOKUP($A11,test!$A$3:$F$32,4,FALSE)=VLOOKUP(AC$1,test!$A$3:$F$32,3,FALSE)),1,0)</f>
        <v>1</v>
      </c>
      <c r="AD11" s="3">
        <f>IF(AND(VLOOKUP(AD$1,test!$A$3:$G$32,5,FALSE)-VLOOKUP($A11,test!$A$3:$G$32,6,FALSE)&gt;=VLOOKUP(VLOOKUP(AD$1, test!$A$3:$G$32,3,FALSE), test!$J$11:$K$14, 2, FALSE)/1440,VLOOKUP($A11,test!$A$3:$F$32,4,FALSE)=VLOOKUP(AD$1,test!$A$3:$F$32,3,FALSE)),1,0)</f>
        <v>0</v>
      </c>
      <c r="AE11" s="3">
        <f>IF(AND(VLOOKUP(AE$1,test!$A$3:$G$32,5,FALSE)-VLOOKUP($A11,test!$A$3:$G$32,6,FALSE)&gt;=VLOOKUP(VLOOKUP(AE$1, test!$A$3:$G$32,3,FALSE), test!$J$11:$K$14, 2, FALSE)/1440,VLOOKUP($A11,test!$A$3:$F$32,4,FALSE)=VLOOKUP(AE$1,test!$A$3:$F$32,3,FALSE)),1,0)</f>
        <v>0</v>
      </c>
      <c r="AF11" s="3">
        <f>IF(AND(VLOOKUP(AF$1,test!$A$3:$G$32,5,FALSE)-VLOOKUP($A11,test!$A$3:$G$32,6,FALSE)&gt;=VLOOKUP(VLOOKUP(AF$1, test!$A$3:$G$32,3,FALSE), test!$J$11:$K$14, 2, FALSE)/1440,VLOOKUP($A11,test!$A$3:$F$32,4,FALSE)=VLOOKUP(AF$1,test!$A$3:$F$32,3,FALSE)),1,0)</f>
        <v>0</v>
      </c>
    </row>
    <row r="12" spans="1:32" x14ac:dyDescent="0.25">
      <c r="A12" t="s">
        <v>20</v>
      </c>
      <c r="B12" s="4">
        <v>1</v>
      </c>
      <c r="C12" s="3">
        <f>IF(AND(VLOOKUP(C$1,test!$A$3:$G$32,5,FALSE)-VLOOKUP($A12,test!$A$3:$G$32,6,FALSE)&gt;=VLOOKUP(VLOOKUP(C$1, test!$A$3:$G$32,3,FALSE), test!$J$11:$K$14, 2, FALSE)/1440,VLOOKUP($A12,test!$A$3:$F$32,4,FALSE)=VLOOKUP(C$1,test!$A$3:$F$32,3,FALSE)),1,0)</f>
        <v>0</v>
      </c>
      <c r="D12" s="3">
        <f>IF(AND(VLOOKUP(D$1,test!$A$3:$G$32,5,FALSE)-VLOOKUP($A12,test!$A$3:$G$32,6,FALSE)&gt;=VLOOKUP(VLOOKUP(D$1, test!$A$3:$G$32,3,FALSE), test!$J$11:$K$14, 2, FALSE)/1440,VLOOKUP($A12,test!$A$3:$F$32,4,FALSE)=VLOOKUP(D$1,test!$A$3:$F$32,3,FALSE)),1,0)</f>
        <v>0</v>
      </c>
      <c r="E12" s="3">
        <f>IF(AND(VLOOKUP(E$1,test!$A$3:$G$32,5,FALSE)-VLOOKUP($A12,test!$A$3:$G$32,6,FALSE)&gt;=VLOOKUP(VLOOKUP(E$1, test!$A$3:$G$32,3,FALSE), test!$J$11:$K$14, 2, FALSE)/1440,VLOOKUP($A12,test!$A$3:$F$32,4,FALSE)=VLOOKUP(E$1,test!$A$3:$F$32,3,FALSE)),1,0)</f>
        <v>0</v>
      </c>
      <c r="F12" s="3">
        <f>IF(AND(VLOOKUP(F$1,test!$A$3:$G$32,5,FALSE)-VLOOKUP($A12,test!$A$3:$G$32,6,FALSE)&gt;=VLOOKUP(VLOOKUP(F$1, test!$A$3:$G$32,3,FALSE), test!$J$11:$K$14, 2, FALSE)/1440,VLOOKUP($A12,test!$A$3:$F$32,4,FALSE)=VLOOKUP(F$1,test!$A$3:$F$32,3,FALSE)),1,0)</f>
        <v>0</v>
      </c>
      <c r="G12" s="3">
        <f>IF(AND(VLOOKUP(G$1,test!$A$3:$G$32,5,FALSE)-VLOOKUP($A12,test!$A$3:$G$32,6,FALSE)&gt;=VLOOKUP(VLOOKUP(G$1, test!$A$3:$G$32,3,FALSE), test!$J$11:$K$14, 2, FALSE)/1440,VLOOKUP($A12,test!$A$3:$F$32,4,FALSE)=VLOOKUP(G$1,test!$A$3:$F$32,3,FALSE)),1,0)</f>
        <v>0</v>
      </c>
      <c r="H12" s="3">
        <f>IF(AND(VLOOKUP(H$1,test!$A$3:$G$32,5,FALSE)-VLOOKUP($A12,test!$A$3:$G$32,6,FALSE)&gt;=VLOOKUP(VLOOKUP(H$1, test!$A$3:$G$32,3,FALSE), test!$J$11:$K$14, 2, FALSE)/1440,VLOOKUP($A12,test!$A$3:$F$32,4,FALSE)=VLOOKUP(H$1,test!$A$3:$F$32,3,FALSE)),1,0)</f>
        <v>0</v>
      </c>
      <c r="I12" s="3">
        <f>IF(AND(VLOOKUP(I$1,test!$A$3:$G$32,5,FALSE)-VLOOKUP($A12,test!$A$3:$G$32,6,FALSE)&gt;=VLOOKUP(VLOOKUP(I$1, test!$A$3:$G$32,3,FALSE), test!$J$11:$K$14, 2, FALSE)/1440,VLOOKUP($A12,test!$A$3:$F$32,4,FALSE)=VLOOKUP(I$1,test!$A$3:$F$32,3,FALSE)),1,0)</f>
        <v>0</v>
      </c>
      <c r="J12" s="3">
        <f>IF(AND(VLOOKUP(J$1,test!$A$3:$G$32,5,FALSE)-VLOOKUP($A12,test!$A$3:$G$32,6,FALSE)&gt;=VLOOKUP(VLOOKUP(J$1, test!$A$3:$G$32,3,FALSE), test!$J$11:$K$14, 2, FALSE)/1440,VLOOKUP($A12,test!$A$3:$F$32,4,FALSE)=VLOOKUP(J$1,test!$A$3:$F$32,3,FALSE)),1,0)</f>
        <v>0</v>
      </c>
      <c r="K12" s="3">
        <f>IF(AND(VLOOKUP(K$1,test!$A$3:$G$32,5,FALSE)-VLOOKUP($A12,test!$A$3:$G$32,6,FALSE)&gt;=VLOOKUP(VLOOKUP(K$1, test!$A$3:$G$32,3,FALSE), test!$J$11:$K$14, 2, FALSE)/1440,VLOOKUP($A12,test!$A$3:$F$32,4,FALSE)=VLOOKUP(K$1,test!$A$3:$F$32,3,FALSE)),1,0)</f>
        <v>0</v>
      </c>
      <c r="L12" s="3">
        <f>IF(AND(VLOOKUP(L$1,test!$A$3:$G$32,5,FALSE)-VLOOKUP($A12,test!$A$3:$G$32,6,FALSE)&gt;=VLOOKUP(VLOOKUP(L$1, test!$A$3:$G$32,3,FALSE), test!$J$11:$K$14, 2, FALSE)/1440,VLOOKUP($A12,test!$A$3:$F$32,4,FALSE)=VLOOKUP(L$1,test!$A$3:$F$32,3,FALSE)),1,0)</f>
        <v>0</v>
      </c>
      <c r="M12" s="3">
        <f>IF(AND(VLOOKUP(M$1,test!$A$3:$G$32,5,FALSE)-VLOOKUP($A12,test!$A$3:$G$32,6,FALSE)&gt;=VLOOKUP(VLOOKUP(M$1, test!$A$3:$G$32,3,FALSE), test!$J$11:$K$14, 2, FALSE)/1440,VLOOKUP($A12,test!$A$3:$F$32,4,FALSE)=VLOOKUP(M$1,test!$A$3:$F$32,3,FALSE)),1,0)</f>
        <v>0</v>
      </c>
      <c r="N12" s="3">
        <f>IF(AND(VLOOKUP(N$1,test!$A$3:$G$32,5,FALSE)-VLOOKUP($A12,test!$A$3:$G$32,6,FALSE)&gt;=VLOOKUP(VLOOKUP(N$1, test!$A$3:$G$32,3,FALSE), test!$J$11:$K$14, 2, FALSE)/1440,VLOOKUP($A12,test!$A$3:$F$32,4,FALSE)=VLOOKUP(N$1,test!$A$3:$F$32,3,FALSE)),1,0)</f>
        <v>0</v>
      </c>
      <c r="O12" s="3">
        <f>IF(AND(VLOOKUP(O$1,test!$A$3:$G$32,5,FALSE)-VLOOKUP($A12,test!$A$3:$G$32,6,FALSE)&gt;=VLOOKUP(VLOOKUP(O$1, test!$A$3:$G$32,3,FALSE), test!$J$11:$K$14, 2, FALSE)/1440,VLOOKUP($A12,test!$A$3:$F$32,4,FALSE)=VLOOKUP(O$1,test!$A$3:$F$32,3,FALSE)),1,0)</f>
        <v>0</v>
      </c>
      <c r="P12" s="3">
        <f>IF(AND(VLOOKUP(P$1,test!$A$3:$G$32,5,FALSE)-VLOOKUP($A12,test!$A$3:$G$32,6,FALSE)&gt;=VLOOKUP(VLOOKUP(P$1, test!$A$3:$G$32,3,FALSE), test!$J$11:$K$14, 2, FALSE)/1440,VLOOKUP($A12,test!$A$3:$F$32,4,FALSE)=VLOOKUP(P$1,test!$A$3:$F$32,3,FALSE)),1,0)</f>
        <v>0</v>
      </c>
      <c r="Q12" s="3">
        <f>IF(AND(VLOOKUP(Q$1,test!$A$3:$G$32,5,FALSE)-VLOOKUP($A12,test!$A$3:$G$32,6,FALSE)&gt;=VLOOKUP(VLOOKUP(Q$1, test!$A$3:$G$32,3,FALSE), test!$J$11:$K$14, 2, FALSE)/1440,VLOOKUP($A12,test!$A$3:$F$32,4,FALSE)=VLOOKUP(Q$1,test!$A$3:$F$32,3,FALSE)),1,0)</f>
        <v>0</v>
      </c>
      <c r="R12" s="3">
        <f>IF(AND(VLOOKUP(R$1,test!$A$3:$G$32,5,FALSE)-VLOOKUP($A12,test!$A$3:$G$32,6,FALSE)&gt;=VLOOKUP(VLOOKUP(R$1, test!$A$3:$G$32,3,FALSE), test!$J$11:$K$14, 2, FALSE)/1440,VLOOKUP($A12,test!$A$3:$F$32,4,FALSE)=VLOOKUP(R$1,test!$A$3:$F$32,3,FALSE)),1,0)</f>
        <v>0</v>
      </c>
      <c r="S12" s="3">
        <f>IF(AND(VLOOKUP(S$1,test!$A$3:$G$32,5,FALSE)-VLOOKUP($A12,test!$A$3:$G$32,6,FALSE)&gt;=VLOOKUP(VLOOKUP(S$1, test!$A$3:$G$32,3,FALSE), test!$J$11:$K$14, 2, FALSE)/1440,VLOOKUP($A12,test!$A$3:$F$32,4,FALSE)=VLOOKUP(S$1,test!$A$3:$F$32,3,FALSE)),1,0)</f>
        <v>0</v>
      </c>
      <c r="T12" s="3">
        <f>IF(AND(VLOOKUP(T$1,test!$A$3:$G$32,5,FALSE)-VLOOKUP($A12,test!$A$3:$G$32,6,FALSE)&gt;=VLOOKUP(VLOOKUP(T$1, test!$A$3:$G$32,3,FALSE), test!$J$11:$K$14, 2, FALSE)/1440,VLOOKUP($A12,test!$A$3:$F$32,4,FALSE)=VLOOKUP(T$1,test!$A$3:$F$32,3,FALSE)),1,0)</f>
        <v>0</v>
      </c>
      <c r="U12" s="3">
        <f>IF(AND(VLOOKUP(U$1,test!$A$3:$G$32,5,FALSE)-VLOOKUP($A12,test!$A$3:$G$32,6,FALSE)&gt;=VLOOKUP(VLOOKUP(U$1, test!$A$3:$G$32,3,FALSE), test!$J$11:$K$14, 2, FALSE)/1440,VLOOKUP($A12,test!$A$3:$F$32,4,FALSE)=VLOOKUP(U$1,test!$A$3:$F$32,3,FALSE)),1,0)</f>
        <v>0</v>
      </c>
      <c r="V12" s="3">
        <f>IF(AND(VLOOKUP(V$1,test!$A$3:$G$32,5,FALSE)-VLOOKUP($A12,test!$A$3:$G$32,6,FALSE)&gt;=VLOOKUP(VLOOKUP(V$1, test!$A$3:$G$32,3,FALSE), test!$J$11:$K$14, 2, FALSE)/1440,VLOOKUP($A12,test!$A$3:$F$32,4,FALSE)=VLOOKUP(V$1,test!$A$3:$F$32,3,FALSE)),1,0)</f>
        <v>0</v>
      </c>
      <c r="W12" s="3">
        <f>IF(AND(VLOOKUP(W$1,test!$A$3:$G$32,5,FALSE)-VLOOKUP($A12,test!$A$3:$G$32,6,FALSE)&gt;=VLOOKUP(VLOOKUP(W$1, test!$A$3:$G$32,3,FALSE), test!$J$11:$K$14, 2, FALSE)/1440,VLOOKUP($A12,test!$A$3:$F$32,4,FALSE)=VLOOKUP(W$1,test!$A$3:$F$32,3,FALSE)),1,0)</f>
        <v>0</v>
      </c>
      <c r="X12" s="3">
        <f>IF(AND(VLOOKUP(X$1,test!$A$3:$G$32,5,FALSE)-VLOOKUP($A12,test!$A$3:$G$32,6,FALSE)&gt;=VLOOKUP(VLOOKUP(X$1, test!$A$3:$G$32,3,FALSE), test!$J$11:$K$14, 2, FALSE)/1440,VLOOKUP($A12,test!$A$3:$F$32,4,FALSE)=VLOOKUP(X$1,test!$A$3:$F$32,3,FALSE)),1,0)</f>
        <v>0</v>
      </c>
      <c r="Y12" s="3">
        <f>IF(AND(VLOOKUP(Y$1,test!$A$3:$G$32,5,FALSE)-VLOOKUP($A12,test!$A$3:$G$32,6,FALSE)&gt;=VLOOKUP(VLOOKUP(Y$1, test!$A$3:$G$32,3,FALSE), test!$J$11:$K$14, 2, FALSE)/1440,VLOOKUP($A12,test!$A$3:$F$32,4,FALSE)=VLOOKUP(Y$1,test!$A$3:$F$32,3,FALSE)),1,0)</f>
        <v>0</v>
      </c>
      <c r="Z12" s="3">
        <f>IF(AND(VLOOKUP(Z$1,test!$A$3:$G$32,5,FALSE)-VLOOKUP($A12,test!$A$3:$G$32,6,FALSE)&gt;=VLOOKUP(VLOOKUP(Z$1, test!$A$3:$G$32,3,FALSE), test!$J$11:$K$14, 2, FALSE)/1440,VLOOKUP($A12,test!$A$3:$F$32,4,FALSE)=VLOOKUP(Z$1,test!$A$3:$F$32,3,FALSE)),1,0)</f>
        <v>0</v>
      </c>
      <c r="AA12" s="3">
        <f>IF(AND(VLOOKUP(AA$1,test!$A$3:$G$32,5,FALSE)-VLOOKUP($A12,test!$A$3:$G$32,6,FALSE)&gt;=VLOOKUP(VLOOKUP(AA$1, test!$A$3:$G$32,3,FALSE), test!$J$11:$K$14, 2, FALSE)/1440,VLOOKUP($A12,test!$A$3:$F$32,4,FALSE)=VLOOKUP(AA$1,test!$A$3:$F$32,3,FALSE)),1,0)</f>
        <v>1</v>
      </c>
      <c r="AB12" s="3">
        <f>IF(AND(VLOOKUP(AB$1,test!$A$3:$G$32,5,FALSE)-VLOOKUP($A12,test!$A$3:$G$32,6,FALSE)&gt;=VLOOKUP(VLOOKUP(AB$1, test!$A$3:$G$32,3,FALSE), test!$J$11:$K$14, 2, FALSE)/1440,VLOOKUP($A12,test!$A$3:$F$32,4,FALSE)=VLOOKUP(AB$1,test!$A$3:$F$32,3,FALSE)),1,0)</f>
        <v>1</v>
      </c>
      <c r="AC12" s="3">
        <f>IF(AND(VLOOKUP(AC$1,test!$A$3:$G$32,5,FALSE)-VLOOKUP($A12,test!$A$3:$G$32,6,FALSE)&gt;=VLOOKUP(VLOOKUP(AC$1, test!$A$3:$G$32,3,FALSE), test!$J$11:$K$14, 2, FALSE)/1440,VLOOKUP($A12,test!$A$3:$F$32,4,FALSE)=VLOOKUP(AC$1,test!$A$3:$F$32,3,FALSE)),1,0)</f>
        <v>1</v>
      </c>
      <c r="AD12" s="3">
        <f>IF(AND(VLOOKUP(AD$1,test!$A$3:$G$32,5,FALSE)-VLOOKUP($A12,test!$A$3:$G$32,6,FALSE)&gt;=VLOOKUP(VLOOKUP(AD$1, test!$A$3:$G$32,3,FALSE), test!$J$11:$K$14, 2, FALSE)/1440,VLOOKUP($A12,test!$A$3:$F$32,4,FALSE)=VLOOKUP(AD$1,test!$A$3:$F$32,3,FALSE)),1,0)</f>
        <v>0</v>
      </c>
      <c r="AE12" s="3">
        <f>IF(AND(VLOOKUP(AE$1,test!$A$3:$G$32,5,FALSE)-VLOOKUP($A12,test!$A$3:$G$32,6,FALSE)&gt;=VLOOKUP(VLOOKUP(AE$1, test!$A$3:$G$32,3,FALSE), test!$J$11:$K$14, 2, FALSE)/1440,VLOOKUP($A12,test!$A$3:$F$32,4,FALSE)=VLOOKUP(AE$1,test!$A$3:$F$32,3,FALSE)),1,0)</f>
        <v>0</v>
      </c>
      <c r="AF12" s="3">
        <f>IF(AND(VLOOKUP(AF$1,test!$A$3:$G$32,5,FALSE)-VLOOKUP($A12,test!$A$3:$G$32,6,FALSE)&gt;=VLOOKUP(VLOOKUP(AF$1, test!$A$3:$G$32,3,FALSE), test!$J$11:$K$14, 2, FALSE)/1440,VLOOKUP($A12,test!$A$3:$F$32,4,FALSE)=VLOOKUP(AF$1,test!$A$3:$F$32,3,FALSE)),1,0)</f>
        <v>0</v>
      </c>
    </row>
    <row r="13" spans="1:32" x14ac:dyDescent="0.25">
      <c r="A13" t="s">
        <v>21</v>
      </c>
      <c r="B13" s="4">
        <v>1</v>
      </c>
      <c r="C13" s="3">
        <f>IF(AND(VLOOKUP(C$1,test!$A$3:$G$32,5,FALSE)-VLOOKUP($A13,test!$A$3:$G$32,6,FALSE)&gt;=VLOOKUP(VLOOKUP(C$1, test!$A$3:$G$32,3,FALSE), test!$J$11:$K$14, 2, FALSE)/1440,VLOOKUP($A13,test!$A$3:$F$32,4,FALSE)=VLOOKUP(C$1,test!$A$3:$F$32,3,FALSE)),1,0)</f>
        <v>0</v>
      </c>
      <c r="D13" s="3">
        <f>IF(AND(VLOOKUP(D$1,test!$A$3:$G$32,5,FALSE)-VLOOKUP($A13,test!$A$3:$G$32,6,FALSE)&gt;=VLOOKUP(VLOOKUP(D$1, test!$A$3:$G$32,3,FALSE), test!$J$11:$K$14, 2, FALSE)/1440,VLOOKUP($A13,test!$A$3:$F$32,4,FALSE)=VLOOKUP(D$1,test!$A$3:$F$32,3,FALSE)),1,0)</f>
        <v>0</v>
      </c>
      <c r="E13" s="3">
        <f>IF(AND(VLOOKUP(E$1,test!$A$3:$G$32,5,FALSE)-VLOOKUP($A13,test!$A$3:$G$32,6,FALSE)&gt;=VLOOKUP(VLOOKUP(E$1, test!$A$3:$G$32,3,FALSE), test!$J$11:$K$14, 2, FALSE)/1440,VLOOKUP($A13,test!$A$3:$F$32,4,FALSE)=VLOOKUP(E$1,test!$A$3:$F$32,3,FALSE)),1,0)</f>
        <v>0</v>
      </c>
      <c r="F13" s="3">
        <f>IF(AND(VLOOKUP(F$1,test!$A$3:$G$32,5,FALSE)-VLOOKUP($A13,test!$A$3:$G$32,6,FALSE)&gt;=VLOOKUP(VLOOKUP(F$1, test!$A$3:$G$32,3,FALSE), test!$J$11:$K$14, 2, FALSE)/1440,VLOOKUP($A13,test!$A$3:$F$32,4,FALSE)=VLOOKUP(F$1,test!$A$3:$F$32,3,FALSE)),1,0)</f>
        <v>0</v>
      </c>
      <c r="G13" s="3">
        <f>IF(AND(VLOOKUP(G$1,test!$A$3:$G$32,5,FALSE)-VLOOKUP($A13,test!$A$3:$G$32,6,FALSE)&gt;=VLOOKUP(VLOOKUP(G$1, test!$A$3:$G$32,3,FALSE), test!$J$11:$K$14, 2, FALSE)/1440,VLOOKUP($A13,test!$A$3:$F$32,4,FALSE)=VLOOKUP(G$1,test!$A$3:$F$32,3,FALSE)),1,0)</f>
        <v>0</v>
      </c>
      <c r="H13" s="3">
        <f>IF(AND(VLOOKUP(H$1,test!$A$3:$G$32,5,FALSE)-VLOOKUP($A13,test!$A$3:$G$32,6,FALSE)&gt;=VLOOKUP(VLOOKUP(H$1, test!$A$3:$G$32,3,FALSE), test!$J$11:$K$14, 2, FALSE)/1440,VLOOKUP($A13,test!$A$3:$F$32,4,FALSE)=VLOOKUP(H$1,test!$A$3:$F$32,3,FALSE)),1,0)</f>
        <v>0</v>
      </c>
      <c r="I13" s="3">
        <f>IF(AND(VLOOKUP(I$1,test!$A$3:$G$32,5,FALSE)-VLOOKUP($A13,test!$A$3:$G$32,6,FALSE)&gt;=VLOOKUP(VLOOKUP(I$1, test!$A$3:$G$32,3,FALSE), test!$J$11:$K$14, 2, FALSE)/1440,VLOOKUP($A13,test!$A$3:$F$32,4,FALSE)=VLOOKUP(I$1,test!$A$3:$F$32,3,FALSE)),1,0)</f>
        <v>0</v>
      </c>
      <c r="J13" s="3">
        <f>IF(AND(VLOOKUP(J$1,test!$A$3:$G$32,5,FALSE)-VLOOKUP($A13,test!$A$3:$G$32,6,FALSE)&gt;=VLOOKUP(VLOOKUP(J$1, test!$A$3:$G$32,3,FALSE), test!$J$11:$K$14, 2, FALSE)/1440,VLOOKUP($A13,test!$A$3:$F$32,4,FALSE)=VLOOKUP(J$1,test!$A$3:$F$32,3,FALSE)),1,0)</f>
        <v>0</v>
      </c>
      <c r="K13" s="3">
        <f>IF(AND(VLOOKUP(K$1,test!$A$3:$G$32,5,FALSE)-VLOOKUP($A13,test!$A$3:$G$32,6,FALSE)&gt;=VLOOKUP(VLOOKUP(K$1, test!$A$3:$G$32,3,FALSE), test!$J$11:$K$14, 2, FALSE)/1440,VLOOKUP($A13,test!$A$3:$F$32,4,FALSE)=VLOOKUP(K$1,test!$A$3:$F$32,3,FALSE)),1,0)</f>
        <v>0</v>
      </c>
      <c r="L13" s="3">
        <f>IF(AND(VLOOKUP(L$1,test!$A$3:$G$32,5,FALSE)-VLOOKUP($A13,test!$A$3:$G$32,6,FALSE)&gt;=VLOOKUP(VLOOKUP(L$1, test!$A$3:$G$32,3,FALSE), test!$J$11:$K$14, 2, FALSE)/1440,VLOOKUP($A13,test!$A$3:$F$32,4,FALSE)=VLOOKUP(L$1,test!$A$3:$F$32,3,FALSE)),1,0)</f>
        <v>0</v>
      </c>
      <c r="M13" s="3">
        <f>IF(AND(VLOOKUP(M$1,test!$A$3:$G$32,5,FALSE)-VLOOKUP($A13,test!$A$3:$G$32,6,FALSE)&gt;=VLOOKUP(VLOOKUP(M$1, test!$A$3:$G$32,3,FALSE), test!$J$11:$K$14, 2, FALSE)/1440,VLOOKUP($A13,test!$A$3:$F$32,4,FALSE)=VLOOKUP(M$1,test!$A$3:$F$32,3,FALSE)),1,0)</f>
        <v>0</v>
      </c>
      <c r="N13" s="3">
        <f>IF(AND(VLOOKUP(N$1,test!$A$3:$G$32,5,FALSE)-VLOOKUP($A13,test!$A$3:$G$32,6,FALSE)&gt;=VLOOKUP(VLOOKUP(N$1, test!$A$3:$G$32,3,FALSE), test!$J$11:$K$14, 2, FALSE)/1440,VLOOKUP($A13,test!$A$3:$F$32,4,FALSE)=VLOOKUP(N$1,test!$A$3:$F$32,3,FALSE)),1,0)</f>
        <v>0</v>
      </c>
      <c r="O13" s="3">
        <f>IF(AND(VLOOKUP(O$1,test!$A$3:$G$32,5,FALSE)-VLOOKUP($A13,test!$A$3:$G$32,6,FALSE)&gt;=VLOOKUP(VLOOKUP(O$1, test!$A$3:$G$32,3,FALSE), test!$J$11:$K$14, 2, FALSE)/1440,VLOOKUP($A13,test!$A$3:$F$32,4,FALSE)=VLOOKUP(O$1,test!$A$3:$F$32,3,FALSE)),1,0)</f>
        <v>0</v>
      </c>
      <c r="P13" s="3">
        <f>IF(AND(VLOOKUP(P$1,test!$A$3:$G$32,5,FALSE)-VLOOKUP($A13,test!$A$3:$G$32,6,FALSE)&gt;=VLOOKUP(VLOOKUP(P$1, test!$A$3:$G$32,3,FALSE), test!$J$11:$K$14, 2, FALSE)/1440,VLOOKUP($A13,test!$A$3:$F$32,4,FALSE)=VLOOKUP(P$1,test!$A$3:$F$32,3,FALSE)),1,0)</f>
        <v>0</v>
      </c>
      <c r="Q13" s="3">
        <f>IF(AND(VLOOKUP(Q$1,test!$A$3:$G$32,5,FALSE)-VLOOKUP($A13,test!$A$3:$G$32,6,FALSE)&gt;=VLOOKUP(VLOOKUP(Q$1, test!$A$3:$G$32,3,FALSE), test!$J$11:$K$14, 2, FALSE)/1440,VLOOKUP($A13,test!$A$3:$F$32,4,FALSE)=VLOOKUP(Q$1,test!$A$3:$F$32,3,FALSE)),1,0)</f>
        <v>0</v>
      </c>
      <c r="R13" s="3">
        <f>IF(AND(VLOOKUP(R$1,test!$A$3:$G$32,5,FALSE)-VLOOKUP($A13,test!$A$3:$G$32,6,FALSE)&gt;=VLOOKUP(VLOOKUP(R$1, test!$A$3:$G$32,3,FALSE), test!$J$11:$K$14, 2, FALSE)/1440,VLOOKUP($A13,test!$A$3:$F$32,4,FALSE)=VLOOKUP(R$1,test!$A$3:$F$32,3,FALSE)),1,0)</f>
        <v>0</v>
      </c>
      <c r="S13" s="3">
        <f>IF(AND(VLOOKUP(S$1,test!$A$3:$G$32,5,FALSE)-VLOOKUP($A13,test!$A$3:$G$32,6,FALSE)&gt;=VLOOKUP(VLOOKUP(S$1, test!$A$3:$G$32,3,FALSE), test!$J$11:$K$14, 2, FALSE)/1440,VLOOKUP($A13,test!$A$3:$F$32,4,FALSE)=VLOOKUP(S$1,test!$A$3:$F$32,3,FALSE)),1,0)</f>
        <v>0</v>
      </c>
      <c r="T13" s="3">
        <f>IF(AND(VLOOKUP(T$1,test!$A$3:$G$32,5,FALSE)-VLOOKUP($A13,test!$A$3:$G$32,6,FALSE)&gt;=VLOOKUP(VLOOKUP(T$1, test!$A$3:$G$32,3,FALSE), test!$J$11:$K$14, 2, FALSE)/1440,VLOOKUP($A13,test!$A$3:$F$32,4,FALSE)=VLOOKUP(T$1,test!$A$3:$F$32,3,FALSE)),1,0)</f>
        <v>0</v>
      </c>
      <c r="U13" s="3">
        <f>IF(AND(VLOOKUP(U$1,test!$A$3:$G$32,5,FALSE)-VLOOKUP($A13,test!$A$3:$G$32,6,FALSE)&gt;=VLOOKUP(VLOOKUP(U$1, test!$A$3:$G$32,3,FALSE), test!$J$11:$K$14, 2, FALSE)/1440,VLOOKUP($A13,test!$A$3:$F$32,4,FALSE)=VLOOKUP(U$1,test!$A$3:$F$32,3,FALSE)),1,0)</f>
        <v>0</v>
      </c>
      <c r="V13" s="3">
        <f>IF(AND(VLOOKUP(V$1,test!$A$3:$G$32,5,FALSE)-VLOOKUP($A13,test!$A$3:$G$32,6,FALSE)&gt;=VLOOKUP(VLOOKUP(V$1, test!$A$3:$G$32,3,FALSE), test!$J$11:$K$14, 2, FALSE)/1440,VLOOKUP($A13,test!$A$3:$F$32,4,FALSE)=VLOOKUP(V$1,test!$A$3:$F$32,3,FALSE)),1,0)</f>
        <v>0</v>
      </c>
      <c r="W13" s="3">
        <f>IF(AND(VLOOKUP(W$1,test!$A$3:$G$32,5,FALSE)-VLOOKUP($A13,test!$A$3:$G$32,6,FALSE)&gt;=VLOOKUP(VLOOKUP(W$1, test!$A$3:$G$32,3,FALSE), test!$J$11:$K$14, 2, FALSE)/1440,VLOOKUP($A13,test!$A$3:$F$32,4,FALSE)=VLOOKUP(W$1,test!$A$3:$F$32,3,FALSE)),1,0)</f>
        <v>0</v>
      </c>
      <c r="X13" s="3">
        <f>IF(AND(VLOOKUP(X$1,test!$A$3:$G$32,5,FALSE)-VLOOKUP($A13,test!$A$3:$G$32,6,FALSE)&gt;=VLOOKUP(VLOOKUP(X$1, test!$A$3:$G$32,3,FALSE), test!$J$11:$K$14, 2, FALSE)/1440,VLOOKUP($A13,test!$A$3:$F$32,4,FALSE)=VLOOKUP(X$1,test!$A$3:$F$32,3,FALSE)),1,0)</f>
        <v>0</v>
      </c>
      <c r="Y13" s="3">
        <f>IF(AND(VLOOKUP(Y$1,test!$A$3:$G$32,5,FALSE)-VLOOKUP($A13,test!$A$3:$G$32,6,FALSE)&gt;=VLOOKUP(VLOOKUP(Y$1, test!$A$3:$G$32,3,FALSE), test!$J$11:$K$14, 2, FALSE)/1440,VLOOKUP($A13,test!$A$3:$F$32,4,FALSE)=VLOOKUP(Y$1,test!$A$3:$F$32,3,FALSE)),1,0)</f>
        <v>0</v>
      </c>
      <c r="Z13" s="3">
        <f>IF(AND(VLOOKUP(Z$1,test!$A$3:$G$32,5,FALSE)-VLOOKUP($A13,test!$A$3:$G$32,6,FALSE)&gt;=VLOOKUP(VLOOKUP(Z$1, test!$A$3:$G$32,3,FALSE), test!$J$11:$K$14, 2, FALSE)/1440,VLOOKUP($A13,test!$A$3:$F$32,4,FALSE)=VLOOKUP(Z$1,test!$A$3:$F$32,3,FALSE)),1,0)</f>
        <v>0</v>
      </c>
      <c r="AA13" s="3">
        <f>IF(AND(VLOOKUP(AA$1,test!$A$3:$G$32,5,FALSE)-VLOOKUP($A13,test!$A$3:$G$32,6,FALSE)&gt;=VLOOKUP(VLOOKUP(AA$1, test!$A$3:$G$32,3,FALSE), test!$J$11:$K$14, 2, FALSE)/1440,VLOOKUP($A13,test!$A$3:$F$32,4,FALSE)=VLOOKUP(AA$1,test!$A$3:$F$32,3,FALSE)),1,0)</f>
        <v>0</v>
      </c>
      <c r="AB13" s="3">
        <f>IF(AND(VLOOKUP(AB$1,test!$A$3:$G$32,5,FALSE)-VLOOKUP($A13,test!$A$3:$G$32,6,FALSE)&gt;=VLOOKUP(VLOOKUP(AB$1, test!$A$3:$G$32,3,FALSE), test!$J$11:$K$14, 2, FALSE)/1440,VLOOKUP($A13,test!$A$3:$F$32,4,FALSE)=VLOOKUP(AB$1,test!$A$3:$F$32,3,FALSE)),1,0)</f>
        <v>0</v>
      </c>
      <c r="AC13" s="3">
        <f>IF(AND(VLOOKUP(AC$1,test!$A$3:$G$32,5,FALSE)-VLOOKUP($A13,test!$A$3:$G$32,6,FALSE)&gt;=VLOOKUP(VLOOKUP(AC$1, test!$A$3:$G$32,3,FALSE), test!$J$11:$K$14, 2, FALSE)/1440,VLOOKUP($A13,test!$A$3:$F$32,4,FALSE)=VLOOKUP(AC$1,test!$A$3:$F$32,3,FALSE)),1,0)</f>
        <v>1</v>
      </c>
      <c r="AD13" s="3">
        <f>IF(AND(VLOOKUP(AD$1,test!$A$3:$G$32,5,FALSE)-VLOOKUP($A13,test!$A$3:$G$32,6,FALSE)&gt;=VLOOKUP(VLOOKUP(AD$1, test!$A$3:$G$32,3,FALSE), test!$J$11:$K$14, 2, FALSE)/1440,VLOOKUP($A13,test!$A$3:$F$32,4,FALSE)=VLOOKUP(AD$1,test!$A$3:$F$32,3,FALSE)),1,0)</f>
        <v>0</v>
      </c>
      <c r="AE13" s="3">
        <f>IF(AND(VLOOKUP(AE$1,test!$A$3:$G$32,5,FALSE)-VLOOKUP($A13,test!$A$3:$G$32,6,FALSE)&gt;=VLOOKUP(VLOOKUP(AE$1, test!$A$3:$G$32,3,FALSE), test!$J$11:$K$14, 2, FALSE)/1440,VLOOKUP($A13,test!$A$3:$F$32,4,FALSE)=VLOOKUP(AE$1,test!$A$3:$F$32,3,FALSE)),1,0)</f>
        <v>0</v>
      </c>
      <c r="AF13" s="3">
        <f>IF(AND(VLOOKUP(AF$1,test!$A$3:$G$32,5,FALSE)-VLOOKUP($A13,test!$A$3:$G$32,6,FALSE)&gt;=VLOOKUP(VLOOKUP(AF$1, test!$A$3:$G$32,3,FALSE), test!$J$11:$K$14, 2, FALSE)/1440,VLOOKUP($A13,test!$A$3:$F$32,4,FALSE)=VLOOKUP(AF$1,test!$A$3:$F$32,3,FALSE)),1,0)</f>
        <v>0</v>
      </c>
    </row>
    <row r="14" spans="1:32" x14ac:dyDescent="0.25">
      <c r="A14" t="s">
        <v>22</v>
      </c>
      <c r="B14" s="4">
        <v>1</v>
      </c>
      <c r="C14" s="3">
        <f>IF(AND(VLOOKUP(C$1,test!$A$3:$G$32,5,FALSE)-VLOOKUP($A14,test!$A$3:$G$32,6,FALSE)&gt;=VLOOKUP(VLOOKUP(C$1, test!$A$3:$G$32,3,FALSE), test!$J$11:$K$14, 2, FALSE)/1440,VLOOKUP($A14,test!$A$3:$F$32,4,FALSE)=VLOOKUP(C$1,test!$A$3:$F$32,3,FALSE)),1,0)</f>
        <v>0</v>
      </c>
      <c r="D14" s="3">
        <f>IF(AND(VLOOKUP(D$1,test!$A$3:$G$32,5,FALSE)-VLOOKUP($A14,test!$A$3:$G$32,6,FALSE)&gt;=VLOOKUP(VLOOKUP(D$1, test!$A$3:$G$32,3,FALSE), test!$J$11:$K$14, 2, FALSE)/1440,VLOOKUP($A14,test!$A$3:$F$32,4,FALSE)=VLOOKUP(D$1,test!$A$3:$F$32,3,FALSE)),1,0)</f>
        <v>0</v>
      </c>
      <c r="E14" s="3">
        <f>IF(AND(VLOOKUP(E$1,test!$A$3:$G$32,5,FALSE)-VLOOKUP($A14,test!$A$3:$G$32,6,FALSE)&gt;=VLOOKUP(VLOOKUP(E$1, test!$A$3:$G$32,3,FALSE), test!$J$11:$K$14, 2, FALSE)/1440,VLOOKUP($A14,test!$A$3:$F$32,4,FALSE)=VLOOKUP(E$1,test!$A$3:$F$32,3,FALSE)),1,0)</f>
        <v>0</v>
      </c>
      <c r="F14" s="3">
        <f>IF(AND(VLOOKUP(F$1,test!$A$3:$G$32,5,FALSE)-VLOOKUP($A14,test!$A$3:$G$32,6,FALSE)&gt;=VLOOKUP(VLOOKUP(F$1, test!$A$3:$G$32,3,FALSE), test!$J$11:$K$14, 2, FALSE)/1440,VLOOKUP($A14,test!$A$3:$F$32,4,FALSE)=VLOOKUP(F$1,test!$A$3:$F$32,3,FALSE)),1,0)</f>
        <v>0</v>
      </c>
      <c r="G14" s="3">
        <f>IF(AND(VLOOKUP(G$1,test!$A$3:$G$32,5,FALSE)-VLOOKUP($A14,test!$A$3:$G$32,6,FALSE)&gt;=VLOOKUP(VLOOKUP(G$1, test!$A$3:$G$32,3,FALSE), test!$J$11:$K$14, 2, FALSE)/1440,VLOOKUP($A14,test!$A$3:$F$32,4,FALSE)=VLOOKUP(G$1,test!$A$3:$F$32,3,FALSE)),1,0)</f>
        <v>0</v>
      </c>
      <c r="H14" s="3">
        <f>IF(AND(VLOOKUP(H$1,test!$A$3:$G$32,5,FALSE)-VLOOKUP($A14,test!$A$3:$G$32,6,FALSE)&gt;=VLOOKUP(VLOOKUP(H$1, test!$A$3:$G$32,3,FALSE), test!$J$11:$K$14, 2, FALSE)/1440,VLOOKUP($A14,test!$A$3:$F$32,4,FALSE)=VLOOKUP(H$1,test!$A$3:$F$32,3,FALSE)),1,0)</f>
        <v>0</v>
      </c>
      <c r="I14" s="3">
        <f>IF(AND(VLOOKUP(I$1,test!$A$3:$G$32,5,FALSE)-VLOOKUP($A14,test!$A$3:$G$32,6,FALSE)&gt;=VLOOKUP(VLOOKUP(I$1, test!$A$3:$G$32,3,FALSE), test!$J$11:$K$14, 2, FALSE)/1440,VLOOKUP($A14,test!$A$3:$F$32,4,FALSE)=VLOOKUP(I$1,test!$A$3:$F$32,3,FALSE)),1,0)</f>
        <v>0</v>
      </c>
      <c r="J14" s="3">
        <f>IF(AND(VLOOKUP(J$1,test!$A$3:$G$32,5,FALSE)-VLOOKUP($A14,test!$A$3:$G$32,6,FALSE)&gt;=VLOOKUP(VLOOKUP(J$1, test!$A$3:$G$32,3,FALSE), test!$J$11:$K$14, 2, FALSE)/1440,VLOOKUP($A14,test!$A$3:$F$32,4,FALSE)=VLOOKUP(J$1,test!$A$3:$F$32,3,FALSE)),1,0)</f>
        <v>0</v>
      </c>
      <c r="K14" s="3">
        <f>IF(AND(VLOOKUP(K$1,test!$A$3:$G$32,5,FALSE)-VLOOKUP($A14,test!$A$3:$G$32,6,FALSE)&gt;=VLOOKUP(VLOOKUP(K$1, test!$A$3:$G$32,3,FALSE), test!$J$11:$K$14, 2, FALSE)/1440,VLOOKUP($A14,test!$A$3:$F$32,4,FALSE)=VLOOKUP(K$1,test!$A$3:$F$32,3,FALSE)),1,0)</f>
        <v>0</v>
      </c>
      <c r="L14" s="3">
        <f>IF(AND(VLOOKUP(L$1,test!$A$3:$G$32,5,FALSE)-VLOOKUP($A14,test!$A$3:$G$32,6,FALSE)&gt;=VLOOKUP(VLOOKUP(L$1, test!$A$3:$G$32,3,FALSE), test!$J$11:$K$14, 2, FALSE)/1440,VLOOKUP($A14,test!$A$3:$F$32,4,FALSE)=VLOOKUP(L$1,test!$A$3:$F$32,3,FALSE)),1,0)</f>
        <v>0</v>
      </c>
      <c r="M14" s="3">
        <f>IF(AND(VLOOKUP(M$1,test!$A$3:$G$32,5,FALSE)-VLOOKUP($A14,test!$A$3:$G$32,6,FALSE)&gt;=VLOOKUP(VLOOKUP(M$1, test!$A$3:$G$32,3,FALSE), test!$J$11:$K$14, 2, FALSE)/1440,VLOOKUP($A14,test!$A$3:$F$32,4,FALSE)=VLOOKUP(M$1,test!$A$3:$F$32,3,FALSE)),1,0)</f>
        <v>0</v>
      </c>
      <c r="N14" s="3">
        <f>IF(AND(VLOOKUP(N$1,test!$A$3:$G$32,5,FALSE)-VLOOKUP($A14,test!$A$3:$G$32,6,FALSE)&gt;=VLOOKUP(VLOOKUP(N$1, test!$A$3:$G$32,3,FALSE), test!$J$11:$K$14, 2, FALSE)/1440,VLOOKUP($A14,test!$A$3:$F$32,4,FALSE)=VLOOKUP(N$1,test!$A$3:$F$32,3,FALSE)),1,0)</f>
        <v>0</v>
      </c>
      <c r="O14" s="3">
        <f>IF(AND(VLOOKUP(O$1,test!$A$3:$G$32,5,FALSE)-VLOOKUP($A14,test!$A$3:$G$32,6,FALSE)&gt;=VLOOKUP(VLOOKUP(O$1, test!$A$3:$G$32,3,FALSE), test!$J$11:$K$14, 2, FALSE)/1440,VLOOKUP($A14,test!$A$3:$F$32,4,FALSE)=VLOOKUP(O$1,test!$A$3:$F$32,3,FALSE)),1,0)</f>
        <v>0</v>
      </c>
      <c r="P14" s="3">
        <f>IF(AND(VLOOKUP(P$1,test!$A$3:$G$32,5,FALSE)-VLOOKUP($A14,test!$A$3:$G$32,6,FALSE)&gt;=VLOOKUP(VLOOKUP(P$1, test!$A$3:$G$32,3,FALSE), test!$J$11:$K$14, 2, FALSE)/1440,VLOOKUP($A14,test!$A$3:$F$32,4,FALSE)=VLOOKUP(P$1,test!$A$3:$F$32,3,FALSE)),1,0)</f>
        <v>0</v>
      </c>
      <c r="Q14" s="3">
        <f>IF(AND(VLOOKUP(Q$1,test!$A$3:$G$32,5,FALSE)-VLOOKUP($A14,test!$A$3:$G$32,6,FALSE)&gt;=VLOOKUP(VLOOKUP(Q$1, test!$A$3:$G$32,3,FALSE), test!$J$11:$K$14, 2, FALSE)/1440,VLOOKUP($A14,test!$A$3:$F$32,4,FALSE)=VLOOKUP(Q$1,test!$A$3:$F$32,3,FALSE)),1,0)</f>
        <v>0</v>
      </c>
      <c r="R14" s="3">
        <f>IF(AND(VLOOKUP(R$1,test!$A$3:$G$32,5,FALSE)-VLOOKUP($A14,test!$A$3:$G$32,6,FALSE)&gt;=VLOOKUP(VLOOKUP(R$1, test!$A$3:$G$32,3,FALSE), test!$J$11:$K$14, 2, FALSE)/1440,VLOOKUP($A14,test!$A$3:$F$32,4,FALSE)=VLOOKUP(R$1,test!$A$3:$F$32,3,FALSE)),1,0)</f>
        <v>0</v>
      </c>
      <c r="S14" s="3">
        <f>IF(AND(VLOOKUP(S$1,test!$A$3:$G$32,5,FALSE)-VLOOKUP($A14,test!$A$3:$G$32,6,FALSE)&gt;=VLOOKUP(VLOOKUP(S$1, test!$A$3:$G$32,3,FALSE), test!$J$11:$K$14, 2, FALSE)/1440,VLOOKUP($A14,test!$A$3:$F$32,4,FALSE)=VLOOKUP(S$1,test!$A$3:$F$32,3,FALSE)),1,0)</f>
        <v>0</v>
      </c>
      <c r="T14" s="3">
        <f>IF(AND(VLOOKUP(T$1,test!$A$3:$G$32,5,FALSE)-VLOOKUP($A14,test!$A$3:$G$32,6,FALSE)&gt;=VLOOKUP(VLOOKUP(T$1, test!$A$3:$G$32,3,FALSE), test!$J$11:$K$14, 2, FALSE)/1440,VLOOKUP($A14,test!$A$3:$F$32,4,FALSE)=VLOOKUP(T$1,test!$A$3:$F$32,3,FALSE)),1,0)</f>
        <v>0</v>
      </c>
      <c r="U14" s="3">
        <f>IF(AND(VLOOKUP(U$1,test!$A$3:$G$32,5,FALSE)-VLOOKUP($A14,test!$A$3:$G$32,6,FALSE)&gt;=VLOOKUP(VLOOKUP(U$1, test!$A$3:$G$32,3,FALSE), test!$J$11:$K$14, 2, FALSE)/1440,VLOOKUP($A14,test!$A$3:$F$32,4,FALSE)=VLOOKUP(U$1,test!$A$3:$F$32,3,FALSE)),1,0)</f>
        <v>0</v>
      </c>
      <c r="V14" s="3">
        <f>IF(AND(VLOOKUP(V$1,test!$A$3:$G$32,5,FALSE)-VLOOKUP($A14,test!$A$3:$G$32,6,FALSE)&gt;=VLOOKUP(VLOOKUP(V$1, test!$A$3:$G$32,3,FALSE), test!$J$11:$K$14, 2, FALSE)/1440,VLOOKUP($A14,test!$A$3:$F$32,4,FALSE)=VLOOKUP(V$1,test!$A$3:$F$32,3,FALSE)),1,0)</f>
        <v>0</v>
      </c>
      <c r="W14" s="3">
        <f>IF(AND(VLOOKUP(W$1,test!$A$3:$G$32,5,FALSE)-VLOOKUP($A14,test!$A$3:$G$32,6,FALSE)&gt;=VLOOKUP(VLOOKUP(W$1, test!$A$3:$G$32,3,FALSE), test!$J$11:$K$14, 2, FALSE)/1440,VLOOKUP($A14,test!$A$3:$F$32,4,FALSE)=VLOOKUP(W$1,test!$A$3:$F$32,3,FALSE)),1,0)</f>
        <v>0</v>
      </c>
      <c r="X14" s="3">
        <f>IF(AND(VLOOKUP(X$1,test!$A$3:$G$32,5,FALSE)-VLOOKUP($A14,test!$A$3:$G$32,6,FALSE)&gt;=VLOOKUP(VLOOKUP(X$1, test!$A$3:$G$32,3,FALSE), test!$J$11:$K$14, 2, FALSE)/1440,VLOOKUP($A14,test!$A$3:$F$32,4,FALSE)=VLOOKUP(X$1,test!$A$3:$F$32,3,FALSE)),1,0)</f>
        <v>0</v>
      </c>
      <c r="Y14" s="3">
        <f>IF(AND(VLOOKUP(Y$1,test!$A$3:$G$32,5,FALSE)-VLOOKUP($A14,test!$A$3:$G$32,6,FALSE)&gt;=VLOOKUP(VLOOKUP(Y$1, test!$A$3:$G$32,3,FALSE), test!$J$11:$K$14, 2, FALSE)/1440,VLOOKUP($A14,test!$A$3:$F$32,4,FALSE)=VLOOKUP(Y$1,test!$A$3:$F$32,3,FALSE)),1,0)</f>
        <v>0</v>
      </c>
      <c r="Z14" s="3">
        <f>IF(AND(VLOOKUP(Z$1,test!$A$3:$G$32,5,FALSE)-VLOOKUP($A14,test!$A$3:$G$32,6,FALSE)&gt;=VLOOKUP(VLOOKUP(Z$1, test!$A$3:$G$32,3,FALSE), test!$J$11:$K$14, 2, FALSE)/1440,VLOOKUP($A14,test!$A$3:$F$32,4,FALSE)=VLOOKUP(Z$1,test!$A$3:$F$32,3,FALSE)),1,0)</f>
        <v>0</v>
      </c>
      <c r="AA14" s="3">
        <f>IF(AND(VLOOKUP(AA$1,test!$A$3:$G$32,5,FALSE)-VLOOKUP($A14,test!$A$3:$G$32,6,FALSE)&gt;=VLOOKUP(VLOOKUP(AA$1, test!$A$3:$G$32,3,FALSE), test!$J$11:$K$14, 2, FALSE)/1440,VLOOKUP($A14,test!$A$3:$F$32,4,FALSE)=VLOOKUP(AA$1,test!$A$3:$F$32,3,FALSE)),1,0)</f>
        <v>0</v>
      </c>
      <c r="AB14" s="3">
        <f>IF(AND(VLOOKUP(AB$1,test!$A$3:$G$32,5,FALSE)-VLOOKUP($A14,test!$A$3:$G$32,6,FALSE)&gt;=VLOOKUP(VLOOKUP(AB$1, test!$A$3:$G$32,3,FALSE), test!$J$11:$K$14, 2, FALSE)/1440,VLOOKUP($A14,test!$A$3:$F$32,4,FALSE)=VLOOKUP(AB$1,test!$A$3:$F$32,3,FALSE)),1,0)</f>
        <v>0</v>
      </c>
      <c r="AC14" s="3">
        <f>IF(AND(VLOOKUP(AC$1,test!$A$3:$G$32,5,FALSE)-VLOOKUP($A14,test!$A$3:$G$32,6,FALSE)&gt;=VLOOKUP(VLOOKUP(AC$1, test!$A$3:$G$32,3,FALSE), test!$J$11:$K$14, 2, FALSE)/1440,VLOOKUP($A14,test!$A$3:$F$32,4,FALSE)=VLOOKUP(AC$1,test!$A$3:$F$32,3,FALSE)),1,0)</f>
        <v>0</v>
      </c>
      <c r="AD14" s="3">
        <f>IF(AND(VLOOKUP(AD$1,test!$A$3:$G$32,5,FALSE)-VLOOKUP($A14,test!$A$3:$G$32,6,FALSE)&gt;=VLOOKUP(VLOOKUP(AD$1, test!$A$3:$G$32,3,FALSE), test!$J$11:$K$14, 2, FALSE)/1440,VLOOKUP($A14,test!$A$3:$F$32,4,FALSE)=VLOOKUP(AD$1,test!$A$3:$F$32,3,FALSE)),1,0)</f>
        <v>0</v>
      </c>
      <c r="AE14" s="3">
        <f>IF(AND(VLOOKUP(AE$1,test!$A$3:$G$32,5,FALSE)-VLOOKUP($A14,test!$A$3:$G$32,6,FALSE)&gt;=VLOOKUP(VLOOKUP(AE$1, test!$A$3:$G$32,3,FALSE), test!$J$11:$K$14, 2, FALSE)/1440,VLOOKUP($A14,test!$A$3:$F$32,4,FALSE)=VLOOKUP(AE$1,test!$A$3:$F$32,3,FALSE)),1,0)</f>
        <v>0</v>
      </c>
      <c r="AF14" s="3">
        <f>IF(AND(VLOOKUP(AF$1,test!$A$3:$G$32,5,FALSE)-VLOOKUP($A14,test!$A$3:$G$32,6,FALSE)&gt;=VLOOKUP(VLOOKUP(AF$1, test!$A$3:$G$32,3,FALSE), test!$J$11:$K$14, 2, FALSE)/1440,VLOOKUP($A14,test!$A$3:$F$32,4,FALSE)=VLOOKUP(AF$1,test!$A$3:$F$32,3,FALSE)),1,0)</f>
        <v>0</v>
      </c>
    </row>
    <row r="15" spans="1:32" x14ac:dyDescent="0.25">
      <c r="A15" t="s">
        <v>23</v>
      </c>
      <c r="B15" s="4">
        <v>1</v>
      </c>
      <c r="C15" s="3">
        <f>IF(AND(VLOOKUP(C$1,test!$A$3:$G$32,5,FALSE)-VLOOKUP($A15,test!$A$3:$G$32,6,FALSE)&gt;=VLOOKUP(VLOOKUP(C$1, test!$A$3:$G$32,3,FALSE), test!$J$11:$K$14, 2, FALSE)/1440,VLOOKUP($A15,test!$A$3:$F$32,4,FALSE)=VLOOKUP(C$1,test!$A$3:$F$32,3,FALSE)),1,0)</f>
        <v>0</v>
      </c>
      <c r="D15" s="3">
        <f>IF(AND(VLOOKUP(D$1,test!$A$3:$G$32,5,FALSE)-VLOOKUP($A15,test!$A$3:$G$32,6,FALSE)&gt;=VLOOKUP(VLOOKUP(D$1, test!$A$3:$G$32,3,FALSE), test!$J$11:$K$14, 2, FALSE)/1440,VLOOKUP($A15,test!$A$3:$F$32,4,FALSE)=VLOOKUP(D$1,test!$A$3:$F$32,3,FALSE)),1,0)</f>
        <v>0</v>
      </c>
      <c r="E15" s="3">
        <f>IF(AND(VLOOKUP(E$1,test!$A$3:$G$32,5,FALSE)-VLOOKUP($A15,test!$A$3:$G$32,6,FALSE)&gt;=VLOOKUP(VLOOKUP(E$1, test!$A$3:$G$32,3,FALSE), test!$J$11:$K$14, 2, FALSE)/1440,VLOOKUP($A15,test!$A$3:$F$32,4,FALSE)=VLOOKUP(E$1,test!$A$3:$F$32,3,FALSE)),1,0)</f>
        <v>0</v>
      </c>
      <c r="F15" s="3">
        <f>IF(AND(VLOOKUP(F$1,test!$A$3:$G$32,5,FALSE)-VLOOKUP($A15,test!$A$3:$G$32,6,FALSE)&gt;=VLOOKUP(VLOOKUP(F$1, test!$A$3:$G$32,3,FALSE), test!$J$11:$K$14, 2, FALSE)/1440,VLOOKUP($A15,test!$A$3:$F$32,4,FALSE)=VLOOKUP(F$1,test!$A$3:$F$32,3,FALSE)),1,0)</f>
        <v>0</v>
      </c>
      <c r="G15" s="3">
        <f>IF(AND(VLOOKUP(G$1,test!$A$3:$G$32,5,FALSE)-VLOOKUP($A15,test!$A$3:$G$32,6,FALSE)&gt;=VLOOKUP(VLOOKUP(G$1, test!$A$3:$G$32,3,FALSE), test!$J$11:$K$14, 2, FALSE)/1440,VLOOKUP($A15,test!$A$3:$F$32,4,FALSE)=VLOOKUP(G$1,test!$A$3:$F$32,3,FALSE)),1,0)</f>
        <v>0</v>
      </c>
      <c r="H15" s="3">
        <f>IF(AND(VLOOKUP(H$1,test!$A$3:$G$32,5,FALSE)-VLOOKUP($A15,test!$A$3:$G$32,6,FALSE)&gt;=VLOOKUP(VLOOKUP(H$1, test!$A$3:$G$32,3,FALSE), test!$J$11:$K$14, 2, FALSE)/1440,VLOOKUP($A15,test!$A$3:$F$32,4,FALSE)=VLOOKUP(H$1,test!$A$3:$F$32,3,FALSE)),1,0)</f>
        <v>0</v>
      </c>
      <c r="I15" s="3">
        <f>IF(AND(VLOOKUP(I$1,test!$A$3:$G$32,5,FALSE)-VLOOKUP($A15,test!$A$3:$G$32,6,FALSE)&gt;=VLOOKUP(VLOOKUP(I$1, test!$A$3:$G$32,3,FALSE), test!$J$11:$K$14, 2, FALSE)/1440,VLOOKUP($A15,test!$A$3:$F$32,4,FALSE)=VLOOKUP(I$1,test!$A$3:$F$32,3,FALSE)),1,0)</f>
        <v>0</v>
      </c>
      <c r="J15" s="3">
        <f>IF(AND(VLOOKUP(J$1,test!$A$3:$G$32,5,FALSE)-VLOOKUP($A15,test!$A$3:$G$32,6,FALSE)&gt;=VLOOKUP(VLOOKUP(J$1, test!$A$3:$G$32,3,FALSE), test!$J$11:$K$14, 2, FALSE)/1440,VLOOKUP($A15,test!$A$3:$F$32,4,FALSE)=VLOOKUP(J$1,test!$A$3:$F$32,3,FALSE)),1,0)</f>
        <v>0</v>
      </c>
      <c r="K15" s="3">
        <f>IF(AND(VLOOKUP(K$1,test!$A$3:$G$32,5,FALSE)-VLOOKUP($A15,test!$A$3:$G$32,6,FALSE)&gt;=VLOOKUP(VLOOKUP(K$1, test!$A$3:$G$32,3,FALSE), test!$J$11:$K$14, 2, FALSE)/1440,VLOOKUP($A15,test!$A$3:$F$32,4,FALSE)=VLOOKUP(K$1,test!$A$3:$F$32,3,FALSE)),1,0)</f>
        <v>0</v>
      </c>
      <c r="L15" s="3">
        <f>IF(AND(VLOOKUP(L$1,test!$A$3:$G$32,5,FALSE)-VLOOKUP($A15,test!$A$3:$G$32,6,FALSE)&gt;=VLOOKUP(VLOOKUP(L$1, test!$A$3:$G$32,3,FALSE), test!$J$11:$K$14, 2, FALSE)/1440,VLOOKUP($A15,test!$A$3:$F$32,4,FALSE)=VLOOKUP(L$1,test!$A$3:$F$32,3,FALSE)),1,0)</f>
        <v>0</v>
      </c>
      <c r="M15" s="3">
        <f>IF(AND(VLOOKUP(M$1,test!$A$3:$G$32,5,FALSE)-VLOOKUP($A15,test!$A$3:$G$32,6,FALSE)&gt;=VLOOKUP(VLOOKUP(M$1, test!$A$3:$G$32,3,FALSE), test!$J$11:$K$14, 2, FALSE)/1440,VLOOKUP($A15,test!$A$3:$F$32,4,FALSE)=VLOOKUP(M$1,test!$A$3:$F$32,3,FALSE)),1,0)</f>
        <v>0</v>
      </c>
      <c r="N15" s="3">
        <f>IF(AND(VLOOKUP(N$1,test!$A$3:$G$32,5,FALSE)-VLOOKUP($A15,test!$A$3:$G$32,6,FALSE)&gt;=VLOOKUP(VLOOKUP(N$1, test!$A$3:$G$32,3,FALSE), test!$J$11:$K$14, 2, FALSE)/1440,VLOOKUP($A15,test!$A$3:$F$32,4,FALSE)=VLOOKUP(N$1,test!$A$3:$F$32,3,FALSE)),1,0)</f>
        <v>0</v>
      </c>
      <c r="O15" s="3">
        <f>IF(AND(VLOOKUP(O$1,test!$A$3:$G$32,5,FALSE)-VLOOKUP($A15,test!$A$3:$G$32,6,FALSE)&gt;=VLOOKUP(VLOOKUP(O$1, test!$A$3:$G$32,3,FALSE), test!$J$11:$K$14, 2, FALSE)/1440,VLOOKUP($A15,test!$A$3:$F$32,4,FALSE)=VLOOKUP(O$1,test!$A$3:$F$32,3,FALSE)),1,0)</f>
        <v>0</v>
      </c>
      <c r="P15" s="3">
        <f>IF(AND(VLOOKUP(P$1,test!$A$3:$G$32,5,FALSE)-VLOOKUP($A15,test!$A$3:$G$32,6,FALSE)&gt;=VLOOKUP(VLOOKUP(P$1, test!$A$3:$G$32,3,FALSE), test!$J$11:$K$14, 2, FALSE)/1440,VLOOKUP($A15,test!$A$3:$F$32,4,FALSE)=VLOOKUP(P$1,test!$A$3:$F$32,3,FALSE)),1,0)</f>
        <v>0</v>
      </c>
      <c r="Q15" s="3">
        <f>IF(AND(VLOOKUP(Q$1,test!$A$3:$G$32,5,FALSE)-VLOOKUP($A15,test!$A$3:$G$32,6,FALSE)&gt;=VLOOKUP(VLOOKUP(Q$1, test!$A$3:$G$32,3,FALSE), test!$J$11:$K$14, 2, FALSE)/1440,VLOOKUP($A15,test!$A$3:$F$32,4,FALSE)=VLOOKUP(Q$1,test!$A$3:$F$32,3,FALSE)),1,0)</f>
        <v>0</v>
      </c>
      <c r="R15" s="3">
        <f>IF(AND(VLOOKUP(R$1,test!$A$3:$G$32,5,FALSE)-VLOOKUP($A15,test!$A$3:$G$32,6,FALSE)&gt;=VLOOKUP(VLOOKUP(R$1, test!$A$3:$G$32,3,FALSE), test!$J$11:$K$14, 2, FALSE)/1440,VLOOKUP($A15,test!$A$3:$F$32,4,FALSE)=VLOOKUP(R$1,test!$A$3:$F$32,3,FALSE)),1,0)</f>
        <v>0</v>
      </c>
      <c r="S15" s="3">
        <f>IF(AND(VLOOKUP(S$1,test!$A$3:$G$32,5,FALSE)-VLOOKUP($A15,test!$A$3:$G$32,6,FALSE)&gt;=VLOOKUP(VLOOKUP(S$1, test!$A$3:$G$32,3,FALSE), test!$J$11:$K$14, 2, FALSE)/1440,VLOOKUP($A15,test!$A$3:$F$32,4,FALSE)=VLOOKUP(S$1,test!$A$3:$F$32,3,FALSE)),1,0)</f>
        <v>0</v>
      </c>
      <c r="T15" s="3">
        <f>IF(AND(VLOOKUP(T$1,test!$A$3:$G$32,5,FALSE)-VLOOKUP($A15,test!$A$3:$G$32,6,FALSE)&gt;=VLOOKUP(VLOOKUP(T$1, test!$A$3:$G$32,3,FALSE), test!$J$11:$K$14, 2, FALSE)/1440,VLOOKUP($A15,test!$A$3:$F$32,4,FALSE)=VLOOKUP(T$1,test!$A$3:$F$32,3,FALSE)),1,0)</f>
        <v>0</v>
      </c>
      <c r="U15" s="3">
        <f>IF(AND(VLOOKUP(U$1,test!$A$3:$G$32,5,FALSE)-VLOOKUP($A15,test!$A$3:$G$32,6,FALSE)&gt;=VLOOKUP(VLOOKUP(U$1, test!$A$3:$G$32,3,FALSE), test!$J$11:$K$14, 2, FALSE)/1440,VLOOKUP($A15,test!$A$3:$F$32,4,FALSE)=VLOOKUP(U$1,test!$A$3:$F$32,3,FALSE)),1,0)</f>
        <v>0</v>
      </c>
      <c r="V15" s="3">
        <f>IF(AND(VLOOKUP(V$1,test!$A$3:$G$32,5,FALSE)-VLOOKUP($A15,test!$A$3:$G$32,6,FALSE)&gt;=VLOOKUP(VLOOKUP(V$1, test!$A$3:$G$32,3,FALSE), test!$J$11:$K$14, 2, FALSE)/1440,VLOOKUP($A15,test!$A$3:$F$32,4,FALSE)=VLOOKUP(V$1,test!$A$3:$F$32,3,FALSE)),1,0)</f>
        <v>0</v>
      </c>
      <c r="W15" s="3">
        <f>IF(AND(VLOOKUP(W$1,test!$A$3:$G$32,5,FALSE)-VLOOKUP($A15,test!$A$3:$G$32,6,FALSE)&gt;=VLOOKUP(VLOOKUP(W$1, test!$A$3:$G$32,3,FALSE), test!$J$11:$K$14, 2, FALSE)/1440,VLOOKUP($A15,test!$A$3:$F$32,4,FALSE)=VLOOKUP(W$1,test!$A$3:$F$32,3,FALSE)),1,0)</f>
        <v>0</v>
      </c>
      <c r="X15" s="3">
        <f>IF(AND(VLOOKUP(X$1,test!$A$3:$G$32,5,FALSE)-VLOOKUP($A15,test!$A$3:$G$32,6,FALSE)&gt;=VLOOKUP(VLOOKUP(X$1, test!$A$3:$G$32,3,FALSE), test!$J$11:$K$14, 2, FALSE)/1440,VLOOKUP($A15,test!$A$3:$F$32,4,FALSE)=VLOOKUP(X$1,test!$A$3:$F$32,3,FALSE)),1,0)</f>
        <v>0</v>
      </c>
      <c r="Y15" s="3">
        <f>IF(AND(VLOOKUP(Y$1,test!$A$3:$G$32,5,FALSE)-VLOOKUP($A15,test!$A$3:$G$32,6,FALSE)&gt;=VLOOKUP(VLOOKUP(Y$1, test!$A$3:$G$32,3,FALSE), test!$J$11:$K$14, 2, FALSE)/1440,VLOOKUP($A15,test!$A$3:$F$32,4,FALSE)=VLOOKUP(Y$1,test!$A$3:$F$32,3,FALSE)),1,0)</f>
        <v>0</v>
      </c>
      <c r="Z15" s="3">
        <f>IF(AND(VLOOKUP(Z$1,test!$A$3:$G$32,5,FALSE)-VLOOKUP($A15,test!$A$3:$G$32,6,FALSE)&gt;=VLOOKUP(VLOOKUP(Z$1, test!$A$3:$G$32,3,FALSE), test!$J$11:$K$14, 2, FALSE)/1440,VLOOKUP($A15,test!$A$3:$F$32,4,FALSE)=VLOOKUP(Z$1,test!$A$3:$F$32,3,FALSE)),1,0)</f>
        <v>0</v>
      </c>
      <c r="AA15" s="3">
        <f>IF(AND(VLOOKUP(AA$1,test!$A$3:$G$32,5,FALSE)-VLOOKUP($A15,test!$A$3:$G$32,6,FALSE)&gt;=VLOOKUP(VLOOKUP(AA$1, test!$A$3:$G$32,3,FALSE), test!$J$11:$K$14, 2, FALSE)/1440,VLOOKUP($A15,test!$A$3:$F$32,4,FALSE)=VLOOKUP(AA$1,test!$A$3:$F$32,3,FALSE)),1,0)</f>
        <v>0</v>
      </c>
      <c r="AB15" s="3">
        <f>IF(AND(VLOOKUP(AB$1,test!$A$3:$G$32,5,FALSE)-VLOOKUP($A15,test!$A$3:$G$32,6,FALSE)&gt;=VLOOKUP(VLOOKUP(AB$1, test!$A$3:$G$32,3,FALSE), test!$J$11:$K$14, 2, FALSE)/1440,VLOOKUP($A15,test!$A$3:$F$32,4,FALSE)=VLOOKUP(AB$1,test!$A$3:$F$32,3,FALSE)),1,0)</f>
        <v>0</v>
      </c>
      <c r="AC15" s="3">
        <f>IF(AND(VLOOKUP(AC$1,test!$A$3:$G$32,5,FALSE)-VLOOKUP($A15,test!$A$3:$G$32,6,FALSE)&gt;=VLOOKUP(VLOOKUP(AC$1, test!$A$3:$G$32,3,FALSE), test!$J$11:$K$14, 2, FALSE)/1440,VLOOKUP($A15,test!$A$3:$F$32,4,FALSE)=VLOOKUP(AC$1,test!$A$3:$F$32,3,FALSE)),1,0)</f>
        <v>0</v>
      </c>
      <c r="AD15" s="3">
        <f>IF(AND(VLOOKUP(AD$1,test!$A$3:$G$32,5,FALSE)-VLOOKUP($A15,test!$A$3:$G$32,6,FALSE)&gt;=VLOOKUP(VLOOKUP(AD$1, test!$A$3:$G$32,3,FALSE), test!$J$11:$K$14, 2, FALSE)/1440,VLOOKUP($A15,test!$A$3:$F$32,4,FALSE)=VLOOKUP(AD$1,test!$A$3:$F$32,3,FALSE)),1,0)</f>
        <v>0</v>
      </c>
      <c r="AE15" s="3">
        <f>IF(AND(VLOOKUP(AE$1,test!$A$3:$G$32,5,FALSE)-VLOOKUP($A15,test!$A$3:$G$32,6,FALSE)&gt;=VLOOKUP(VLOOKUP(AE$1, test!$A$3:$G$32,3,FALSE), test!$J$11:$K$14, 2, FALSE)/1440,VLOOKUP($A15,test!$A$3:$F$32,4,FALSE)=VLOOKUP(AE$1,test!$A$3:$F$32,3,FALSE)),1,0)</f>
        <v>0</v>
      </c>
      <c r="AF15" s="3">
        <f>IF(AND(VLOOKUP(AF$1,test!$A$3:$G$32,5,FALSE)-VLOOKUP($A15,test!$A$3:$G$32,6,FALSE)&gt;=VLOOKUP(VLOOKUP(AF$1, test!$A$3:$G$32,3,FALSE), test!$J$11:$K$14, 2, FALSE)/1440,VLOOKUP($A15,test!$A$3:$F$32,4,FALSE)=VLOOKUP(AF$1,test!$A$3:$F$32,3,FALSE)),1,0)</f>
        <v>0</v>
      </c>
    </row>
    <row r="16" spans="1:32" x14ac:dyDescent="0.25">
      <c r="A16" t="s">
        <v>24</v>
      </c>
      <c r="B16" s="4">
        <v>1</v>
      </c>
      <c r="C16" s="3">
        <f>IF(AND(VLOOKUP(C$1,test!$A$3:$G$32,5,FALSE)-VLOOKUP($A16,test!$A$3:$G$32,6,FALSE)&gt;=VLOOKUP(VLOOKUP(C$1, test!$A$3:$G$32,3,FALSE), test!$J$11:$K$14, 2, FALSE)/1440,VLOOKUP($A16,test!$A$3:$F$32,4,FALSE)=VLOOKUP(C$1,test!$A$3:$F$32,3,FALSE)),1,0)</f>
        <v>0</v>
      </c>
      <c r="D16" s="3">
        <f>IF(AND(VLOOKUP(D$1,test!$A$3:$G$32,5,FALSE)-VLOOKUP($A16,test!$A$3:$G$32,6,FALSE)&gt;=VLOOKUP(VLOOKUP(D$1, test!$A$3:$G$32,3,FALSE), test!$J$11:$K$14, 2, FALSE)/1440,VLOOKUP($A16,test!$A$3:$F$32,4,FALSE)=VLOOKUP(D$1,test!$A$3:$F$32,3,FALSE)),1,0)</f>
        <v>0</v>
      </c>
      <c r="E16" s="3">
        <f>IF(AND(VLOOKUP(E$1,test!$A$3:$G$32,5,FALSE)-VLOOKUP($A16,test!$A$3:$G$32,6,FALSE)&gt;=VLOOKUP(VLOOKUP(E$1, test!$A$3:$G$32,3,FALSE), test!$J$11:$K$14, 2, FALSE)/1440,VLOOKUP($A16,test!$A$3:$F$32,4,FALSE)=VLOOKUP(E$1,test!$A$3:$F$32,3,FALSE)),1,0)</f>
        <v>0</v>
      </c>
      <c r="F16" s="3">
        <f>IF(AND(VLOOKUP(F$1,test!$A$3:$G$32,5,FALSE)-VLOOKUP($A16,test!$A$3:$G$32,6,FALSE)&gt;=VLOOKUP(VLOOKUP(F$1, test!$A$3:$G$32,3,FALSE), test!$J$11:$K$14, 2, FALSE)/1440,VLOOKUP($A16,test!$A$3:$F$32,4,FALSE)=VLOOKUP(F$1,test!$A$3:$F$32,3,FALSE)),1,0)</f>
        <v>0</v>
      </c>
      <c r="G16" s="3">
        <f>IF(AND(VLOOKUP(G$1,test!$A$3:$G$32,5,FALSE)-VLOOKUP($A16,test!$A$3:$G$32,6,FALSE)&gt;=VLOOKUP(VLOOKUP(G$1, test!$A$3:$G$32,3,FALSE), test!$J$11:$K$14, 2, FALSE)/1440,VLOOKUP($A16,test!$A$3:$F$32,4,FALSE)=VLOOKUP(G$1,test!$A$3:$F$32,3,FALSE)),1,0)</f>
        <v>0</v>
      </c>
      <c r="H16" s="3">
        <f>IF(AND(VLOOKUP(H$1,test!$A$3:$G$32,5,FALSE)-VLOOKUP($A16,test!$A$3:$G$32,6,FALSE)&gt;=VLOOKUP(VLOOKUP(H$1, test!$A$3:$G$32,3,FALSE), test!$J$11:$K$14, 2, FALSE)/1440,VLOOKUP($A16,test!$A$3:$F$32,4,FALSE)=VLOOKUP(H$1,test!$A$3:$F$32,3,FALSE)),1,0)</f>
        <v>0</v>
      </c>
      <c r="I16" s="3">
        <f>IF(AND(VLOOKUP(I$1,test!$A$3:$G$32,5,FALSE)-VLOOKUP($A16,test!$A$3:$G$32,6,FALSE)&gt;=VLOOKUP(VLOOKUP(I$1, test!$A$3:$G$32,3,FALSE), test!$J$11:$K$14, 2, FALSE)/1440,VLOOKUP($A16,test!$A$3:$F$32,4,FALSE)=VLOOKUP(I$1,test!$A$3:$F$32,3,FALSE)),1,0)</f>
        <v>0</v>
      </c>
      <c r="J16" s="3">
        <f>IF(AND(VLOOKUP(J$1,test!$A$3:$G$32,5,FALSE)-VLOOKUP($A16,test!$A$3:$G$32,6,FALSE)&gt;=VLOOKUP(VLOOKUP(J$1, test!$A$3:$G$32,3,FALSE), test!$J$11:$K$14, 2, FALSE)/1440,VLOOKUP($A16,test!$A$3:$F$32,4,FALSE)=VLOOKUP(J$1,test!$A$3:$F$32,3,FALSE)),1,0)</f>
        <v>0</v>
      </c>
      <c r="K16" s="3">
        <f>IF(AND(VLOOKUP(K$1,test!$A$3:$G$32,5,FALSE)-VLOOKUP($A16,test!$A$3:$G$32,6,FALSE)&gt;=VLOOKUP(VLOOKUP(K$1, test!$A$3:$G$32,3,FALSE), test!$J$11:$K$14, 2, FALSE)/1440,VLOOKUP($A16,test!$A$3:$F$32,4,FALSE)=VLOOKUP(K$1,test!$A$3:$F$32,3,FALSE)),1,0)</f>
        <v>0</v>
      </c>
      <c r="L16" s="3">
        <f>IF(AND(VLOOKUP(L$1,test!$A$3:$G$32,5,FALSE)-VLOOKUP($A16,test!$A$3:$G$32,6,FALSE)&gt;=VLOOKUP(VLOOKUP(L$1, test!$A$3:$G$32,3,FALSE), test!$J$11:$K$14, 2, FALSE)/1440,VLOOKUP($A16,test!$A$3:$F$32,4,FALSE)=VLOOKUP(L$1,test!$A$3:$F$32,3,FALSE)),1,0)</f>
        <v>0</v>
      </c>
      <c r="M16" s="3">
        <f>IF(AND(VLOOKUP(M$1,test!$A$3:$G$32,5,FALSE)-VLOOKUP($A16,test!$A$3:$G$32,6,FALSE)&gt;=VLOOKUP(VLOOKUP(M$1, test!$A$3:$G$32,3,FALSE), test!$J$11:$K$14, 2, FALSE)/1440,VLOOKUP($A16,test!$A$3:$F$32,4,FALSE)=VLOOKUP(M$1,test!$A$3:$F$32,3,FALSE)),1,0)</f>
        <v>0</v>
      </c>
      <c r="N16" s="3">
        <f>IF(AND(VLOOKUP(N$1,test!$A$3:$G$32,5,FALSE)-VLOOKUP($A16,test!$A$3:$G$32,6,FALSE)&gt;=VLOOKUP(VLOOKUP(N$1, test!$A$3:$G$32,3,FALSE), test!$J$11:$K$14, 2, FALSE)/1440,VLOOKUP($A16,test!$A$3:$F$32,4,FALSE)=VLOOKUP(N$1,test!$A$3:$F$32,3,FALSE)),1,0)</f>
        <v>0</v>
      </c>
      <c r="O16" s="3">
        <f>IF(AND(VLOOKUP(O$1,test!$A$3:$G$32,5,FALSE)-VLOOKUP($A16,test!$A$3:$G$32,6,FALSE)&gt;=VLOOKUP(VLOOKUP(O$1, test!$A$3:$G$32,3,FALSE), test!$J$11:$K$14, 2, FALSE)/1440,VLOOKUP($A16,test!$A$3:$F$32,4,FALSE)=VLOOKUP(O$1,test!$A$3:$F$32,3,FALSE)),1,0)</f>
        <v>0</v>
      </c>
      <c r="P16" s="3">
        <f>IF(AND(VLOOKUP(P$1,test!$A$3:$G$32,5,FALSE)-VLOOKUP($A16,test!$A$3:$G$32,6,FALSE)&gt;=VLOOKUP(VLOOKUP(P$1, test!$A$3:$G$32,3,FALSE), test!$J$11:$K$14, 2, FALSE)/1440,VLOOKUP($A16,test!$A$3:$F$32,4,FALSE)=VLOOKUP(P$1,test!$A$3:$F$32,3,FALSE)),1,0)</f>
        <v>0</v>
      </c>
      <c r="Q16" s="3">
        <f>IF(AND(VLOOKUP(Q$1,test!$A$3:$G$32,5,FALSE)-VLOOKUP($A16,test!$A$3:$G$32,6,FALSE)&gt;=VLOOKUP(VLOOKUP(Q$1, test!$A$3:$G$32,3,FALSE), test!$J$11:$K$14, 2, FALSE)/1440,VLOOKUP($A16,test!$A$3:$F$32,4,FALSE)=VLOOKUP(Q$1,test!$A$3:$F$32,3,FALSE)),1,0)</f>
        <v>0</v>
      </c>
      <c r="R16" s="3">
        <f>IF(AND(VLOOKUP(R$1,test!$A$3:$G$32,5,FALSE)-VLOOKUP($A16,test!$A$3:$G$32,6,FALSE)&gt;=VLOOKUP(VLOOKUP(R$1, test!$A$3:$G$32,3,FALSE), test!$J$11:$K$14, 2, FALSE)/1440,VLOOKUP($A16,test!$A$3:$F$32,4,FALSE)=VLOOKUP(R$1,test!$A$3:$F$32,3,FALSE)),1,0)</f>
        <v>0</v>
      </c>
      <c r="S16" s="3">
        <f>IF(AND(VLOOKUP(S$1,test!$A$3:$G$32,5,FALSE)-VLOOKUP($A16,test!$A$3:$G$32,6,FALSE)&gt;=VLOOKUP(VLOOKUP(S$1, test!$A$3:$G$32,3,FALSE), test!$J$11:$K$14, 2, FALSE)/1440,VLOOKUP($A16,test!$A$3:$F$32,4,FALSE)=VLOOKUP(S$1,test!$A$3:$F$32,3,FALSE)),1,0)</f>
        <v>0</v>
      </c>
      <c r="T16" s="3">
        <f>IF(AND(VLOOKUP(T$1,test!$A$3:$G$32,5,FALSE)-VLOOKUP($A16,test!$A$3:$G$32,6,FALSE)&gt;=VLOOKUP(VLOOKUP(T$1, test!$A$3:$G$32,3,FALSE), test!$J$11:$K$14, 2, FALSE)/1440,VLOOKUP($A16,test!$A$3:$F$32,4,FALSE)=VLOOKUP(T$1,test!$A$3:$F$32,3,FALSE)),1,0)</f>
        <v>0</v>
      </c>
      <c r="U16" s="3">
        <f>IF(AND(VLOOKUP(U$1,test!$A$3:$G$32,5,FALSE)-VLOOKUP($A16,test!$A$3:$G$32,6,FALSE)&gt;=VLOOKUP(VLOOKUP(U$1, test!$A$3:$G$32,3,FALSE), test!$J$11:$K$14, 2, FALSE)/1440,VLOOKUP($A16,test!$A$3:$F$32,4,FALSE)=VLOOKUP(U$1,test!$A$3:$F$32,3,FALSE)),1,0)</f>
        <v>0</v>
      </c>
      <c r="V16" s="3">
        <f>IF(AND(VLOOKUP(V$1,test!$A$3:$G$32,5,FALSE)-VLOOKUP($A16,test!$A$3:$G$32,6,FALSE)&gt;=VLOOKUP(VLOOKUP(V$1, test!$A$3:$G$32,3,FALSE), test!$J$11:$K$14, 2, FALSE)/1440,VLOOKUP($A16,test!$A$3:$F$32,4,FALSE)=VLOOKUP(V$1,test!$A$3:$F$32,3,FALSE)),1,0)</f>
        <v>0</v>
      </c>
      <c r="W16" s="3">
        <f>IF(AND(VLOOKUP(W$1,test!$A$3:$G$32,5,FALSE)-VLOOKUP($A16,test!$A$3:$G$32,6,FALSE)&gt;=VLOOKUP(VLOOKUP(W$1, test!$A$3:$G$32,3,FALSE), test!$J$11:$K$14, 2, FALSE)/1440,VLOOKUP($A16,test!$A$3:$F$32,4,FALSE)=VLOOKUP(W$1,test!$A$3:$F$32,3,FALSE)),1,0)</f>
        <v>0</v>
      </c>
      <c r="X16" s="3">
        <f>IF(AND(VLOOKUP(X$1,test!$A$3:$G$32,5,FALSE)-VLOOKUP($A16,test!$A$3:$G$32,6,FALSE)&gt;=VLOOKUP(VLOOKUP(X$1, test!$A$3:$G$32,3,FALSE), test!$J$11:$K$14, 2, FALSE)/1440,VLOOKUP($A16,test!$A$3:$F$32,4,FALSE)=VLOOKUP(X$1,test!$A$3:$F$32,3,FALSE)),1,0)</f>
        <v>0</v>
      </c>
      <c r="Y16" s="3">
        <f>IF(AND(VLOOKUP(Y$1,test!$A$3:$G$32,5,FALSE)-VLOOKUP($A16,test!$A$3:$G$32,6,FALSE)&gt;=VLOOKUP(VLOOKUP(Y$1, test!$A$3:$G$32,3,FALSE), test!$J$11:$K$14, 2, FALSE)/1440,VLOOKUP($A16,test!$A$3:$F$32,4,FALSE)=VLOOKUP(Y$1,test!$A$3:$F$32,3,FALSE)),1,0)</f>
        <v>0</v>
      </c>
      <c r="Z16" s="3">
        <f>IF(AND(VLOOKUP(Z$1,test!$A$3:$G$32,5,FALSE)-VLOOKUP($A16,test!$A$3:$G$32,6,FALSE)&gt;=VLOOKUP(VLOOKUP(Z$1, test!$A$3:$G$32,3,FALSE), test!$J$11:$K$14, 2, FALSE)/1440,VLOOKUP($A16,test!$A$3:$F$32,4,FALSE)=VLOOKUP(Z$1,test!$A$3:$F$32,3,FALSE)),1,0)</f>
        <v>0</v>
      </c>
      <c r="AA16" s="3">
        <f>IF(AND(VLOOKUP(AA$1,test!$A$3:$G$32,5,FALSE)-VLOOKUP($A16,test!$A$3:$G$32,6,FALSE)&gt;=VLOOKUP(VLOOKUP(AA$1, test!$A$3:$G$32,3,FALSE), test!$J$11:$K$14, 2, FALSE)/1440,VLOOKUP($A16,test!$A$3:$F$32,4,FALSE)=VLOOKUP(AA$1,test!$A$3:$F$32,3,FALSE)),1,0)</f>
        <v>0</v>
      </c>
      <c r="AB16" s="3">
        <f>IF(AND(VLOOKUP(AB$1,test!$A$3:$G$32,5,FALSE)-VLOOKUP($A16,test!$A$3:$G$32,6,FALSE)&gt;=VLOOKUP(VLOOKUP(AB$1, test!$A$3:$G$32,3,FALSE), test!$J$11:$K$14, 2, FALSE)/1440,VLOOKUP($A16,test!$A$3:$F$32,4,FALSE)=VLOOKUP(AB$1,test!$A$3:$F$32,3,FALSE)),1,0)</f>
        <v>0</v>
      </c>
      <c r="AC16" s="3">
        <f>IF(AND(VLOOKUP(AC$1,test!$A$3:$G$32,5,FALSE)-VLOOKUP($A16,test!$A$3:$G$32,6,FALSE)&gt;=VLOOKUP(VLOOKUP(AC$1, test!$A$3:$G$32,3,FALSE), test!$J$11:$K$14, 2, FALSE)/1440,VLOOKUP($A16,test!$A$3:$F$32,4,FALSE)=VLOOKUP(AC$1,test!$A$3:$F$32,3,FALSE)),1,0)</f>
        <v>0</v>
      </c>
      <c r="AD16" s="3">
        <f>IF(AND(VLOOKUP(AD$1,test!$A$3:$G$32,5,FALSE)-VLOOKUP($A16,test!$A$3:$G$32,6,FALSE)&gt;=VLOOKUP(VLOOKUP(AD$1, test!$A$3:$G$32,3,FALSE), test!$J$11:$K$14, 2, FALSE)/1440,VLOOKUP($A16,test!$A$3:$F$32,4,FALSE)=VLOOKUP(AD$1,test!$A$3:$F$32,3,FALSE)),1,0)</f>
        <v>0</v>
      </c>
      <c r="AE16" s="3">
        <f>IF(AND(VLOOKUP(AE$1,test!$A$3:$G$32,5,FALSE)-VLOOKUP($A16,test!$A$3:$G$32,6,FALSE)&gt;=VLOOKUP(VLOOKUP(AE$1, test!$A$3:$G$32,3,FALSE), test!$J$11:$K$14, 2, FALSE)/1440,VLOOKUP($A16,test!$A$3:$F$32,4,FALSE)=VLOOKUP(AE$1,test!$A$3:$F$32,3,FALSE)),1,0)</f>
        <v>1</v>
      </c>
      <c r="AF16" s="3">
        <f>IF(AND(VLOOKUP(AF$1,test!$A$3:$G$32,5,FALSE)-VLOOKUP($A16,test!$A$3:$G$32,6,FALSE)&gt;=VLOOKUP(VLOOKUP(AF$1, test!$A$3:$G$32,3,FALSE), test!$J$11:$K$14, 2, FALSE)/1440,VLOOKUP($A16,test!$A$3:$F$32,4,FALSE)=VLOOKUP(AF$1,test!$A$3:$F$32,3,FALSE)),1,0)</f>
        <v>1</v>
      </c>
    </row>
    <row r="17" spans="1:32" x14ac:dyDescent="0.25">
      <c r="A17" t="s">
        <v>26</v>
      </c>
      <c r="B17" s="4">
        <v>1</v>
      </c>
      <c r="C17" s="3">
        <f>IF(AND(VLOOKUP(C$1,test!$A$3:$G$32,5,FALSE)-VLOOKUP($A17,test!$A$3:$G$32,6,FALSE)&gt;=VLOOKUP(VLOOKUP(C$1, test!$A$3:$G$32,3,FALSE), test!$J$11:$K$14, 2, FALSE)/1440,VLOOKUP($A17,test!$A$3:$F$32,4,FALSE)=VLOOKUP(C$1,test!$A$3:$F$32,3,FALSE)),1,0)</f>
        <v>0</v>
      </c>
      <c r="D17" s="3">
        <f>IF(AND(VLOOKUP(D$1,test!$A$3:$G$32,5,FALSE)-VLOOKUP($A17,test!$A$3:$G$32,6,FALSE)&gt;=VLOOKUP(VLOOKUP(D$1, test!$A$3:$G$32,3,FALSE), test!$J$11:$K$14, 2, FALSE)/1440,VLOOKUP($A17,test!$A$3:$F$32,4,FALSE)=VLOOKUP(D$1,test!$A$3:$F$32,3,FALSE)),1,0)</f>
        <v>1</v>
      </c>
      <c r="E17" s="3">
        <f>IF(AND(VLOOKUP(E$1,test!$A$3:$G$32,5,FALSE)-VLOOKUP($A17,test!$A$3:$G$32,6,FALSE)&gt;=VLOOKUP(VLOOKUP(E$1, test!$A$3:$G$32,3,FALSE), test!$J$11:$K$14, 2, FALSE)/1440,VLOOKUP($A17,test!$A$3:$F$32,4,FALSE)=VLOOKUP(E$1,test!$A$3:$F$32,3,FALSE)),1,0)</f>
        <v>1</v>
      </c>
      <c r="F17" s="3">
        <f>IF(AND(VLOOKUP(F$1,test!$A$3:$G$32,5,FALSE)-VLOOKUP($A17,test!$A$3:$G$32,6,FALSE)&gt;=VLOOKUP(VLOOKUP(F$1, test!$A$3:$G$32,3,FALSE), test!$J$11:$K$14, 2, FALSE)/1440,VLOOKUP($A17,test!$A$3:$F$32,4,FALSE)=VLOOKUP(F$1,test!$A$3:$F$32,3,FALSE)),1,0)</f>
        <v>1</v>
      </c>
      <c r="G17" s="3">
        <f>IF(AND(VLOOKUP(G$1,test!$A$3:$G$32,5,FALSE)-VLOOKUP($A17,test!$A$3:$G$32,6,FALSE)&gt;=VLOOKUP(VLOOKUP(G$1, test!$A$3:$G$32,3,FALSE), test!$J$11:$K$14, 2, FALSE)/1440,VLOOKUP($A17,test!$A$3:$F$32,4,FALSE)=VLOOKUP(G$1,test!$A$3:$F$32,3,FALSE)),1,0)</f>
        <v>1</v>
      </c>
      <c r="H17" s="3">
        <f>IF(AND(VLOOKUP(H$1,test!$A$3:$G$32,5,FALSE)-VLOOKUP($A17,test!$A$3:$G$32,6,FALSE)&gt;=VLOOKUP(VLOOKUP(H$1, test!$A$3:$G$32,3,FALSE), test!$J$11:$K$14, 2, FALSE)/1440,VLOOKUP($A17,test!$A$3:$F$32,4,FALSE)=VLOOKUP(H$1,test!$A$3:$F$32,3,FALSE)),1,0)</f>
        <v>1</v>
      </c>
      <c r="I17" s="3">
        <f>IF(AND(VLOOKUP(I$1,test!$A$3:$G$32,5,FALSE)-VLOOKUP($A17,test!$A$3:$G$32,6,FALSE)&gt;=VLOOKUP(VLOOKUP(I$1, test!$A$3:$G$32,3,FALSE), test!$J$11:$K$14, 2, FALSE)/1440,VLOOKUP($A17,test!$A$3:$F$32,4,FALSE)=VLOOKUP(I$1,test!$A$3:$F$32,3,FALSE)),1,0)</f>
        <v>1</v>
      </c>
      <c r="J17" s="3">
        <f>IF(AND(VLOOKUP(J$1,test!$A$3:$G$32,5,FALSE)-VLOOKUP($A17,test!$A$3:$G$32,6,FALSE)&gt;=VLOOKUP(VLOOKUP(J$1, test!$A$3:$G$32,3,FALSE), test!$J$11:$K$14, 2, FALSE)/1440,VLOOKUP($A17,test!$A$3:$F$32,4,FALSE)=VLOOKUP(J$1,test!$A$3:$F$32,3,FALSE)),1,0)</f>
        <v>1</v>
      </c>
      <c r="K17" s="3">
        <f>IF(AND(VLOOKUP(K$1,test!$A$3:$G$32,5,FALSE)-VLOOKUP($A17,test!$A$3:$G$32,6,FALSE)&gt;=VLOOKUP(VLOOKUP(K$1, test!$A$3:$G$32,3,FALSE), test!$J$11:$K$14, 2, FALSE)/1440,VLOOKUP($A17,test!$A$3:$F$32,4,FALSE)=VLOOKUP(K$1,test!$A$3:$F$32,3,FALSE)),1,0)</f>
        <v>0</v>
      </c>
      <c r="L17" s="3">
        <f>IF(AND(VLOOKUP(L$1,test!$A$3:$G$32,5,FALSE)-VLOOKUP($A17,test!$A$3:$G$32,6,FALSE)&gt;=VLOOKUP(VLOOKUP(L$1, test!$A$3:$G$32,3,FALSE), test!$J$11:$K$14, 2, FALSE)/1440,VLOOKUP($A17,test!$A$3:$F$32,4,FALSE)=VLOOKUP(L$1,test!$A$3:$F$32,3,FALSE)),1,0)</f>
        <v>0</v>
      </c>
      <c r="M17" s="3">
        <f>IF(AND(VLOOKUP(M$1,test!$A$3:$G$32,5,FALSE)-VLOOKUP($A17,test!$A$3:$G$32,6,FALSE)&gt;=VLOOKUP(VLOOKUP(M$1, test!$A$3:$G$32,3,FALSE), test!$J$11:$K$14, 2, FALSE)/1440,VLOOKUP($A17,test!$A$3:$F$32,4,FALSE)=VLOOKUP(M$1,test!$A$3:$F$32,3,FALSE)),1,0)</f>
        <v>1</v>
      </c>
      <c r="N17" s="3">
        <f>IF(AND(VLOOKUP(N$1,test!$A$3:$G$32,5,FALSE)-VLOOKUP($A17,test!$A$3:$G$32,6,FALSE)&gt;=VLOOKUP(VLOOKUP(N$1, test!$A$3:$G$32,3,FALSE), test!$J$11:$K$14, 2, FALSE)/1440,VLOOKUP($A17,test!$A$3:$F$32,4,FALSE)=VLOOKUP(N$1,test!$A$3:$F$32,3,FALSE)),1,0)</f>
        <v>1</v>
      </c>
      <c r="O17" s="3">
        <f>IF(AND(VLOOKUP(O$1,test!$A$3:$G$32,5,FALSE)-VLOOKUP($A17,test!$A$3:$G$32,6,FALSE)&gt;=VLOOKUP(VLOOKUP(O$1, test!$A$3:$G$32,3,FALSE), test!$J$11:$K$14, 2, FALSE)/1440,VLOOKUP($A17,test!$A$3:$F$32,4,FALSE)=VLOOKUP(O$1,test!$A$3:$F$32,3,FALSE)),1,0)</f>
        <v>1</v>
      </c>
      <c r="P17" s="3">
        <f>IF(AND(VLOOKUP(P$1,test!$A$3:$G$32,5,FALSE)-VLOOKUP($A17,test!$A$3:$G$32,6,FALSE)&gt;=VLOOKUP(VLOOKUP(P$1, test!$A$3:$G$32,3,FALSE), test!$J$11:$K$14, 2, FALSE)/1440,VLOOKUP($A17,test!$A$3:$F$32,4,FALSE)=VLOOKUP(P$1,test!$A$3:$F$32,3,FALSE)),1,0)</f>
        <v>0</v>
      </c>
      <c r="Q17" s="3">
        <f>IF(AND(VLOOKUP(Q$1,test!$A$3:$G$32,5,FALSE)-VLOOKUP($A17,test!$A$3:$G$32,6,FALSE)&gt;=VLOOKUP(VLOOKUP(Q$1, test!$A$3:$G$32,3,FALSE), test!$J$11:$K$14, 2, FALSE)/1440,VLOOKUP($A17,test!$A$3:$F$32,4,FALSE)=VLOOKUP(Q$1,test!$A$3:$F$32,3,FALSE)),1,0)</f>
        <v>0</v>
      </c>
      <c r="R17" s="3">
        <f>IF(AND(VLOOKUP(R$1,test!$A$3:$G$32,5,FALSE)-VLOOKUP($A17,test!$A$3:$G$32,6,FALSE)&gt;=VLOOKUP(VLOOKUP(R$1, test!$A$3:$G$32,3,FALSE), test!$J$11:$K$14, 2, FALSE)/1440,VLOOKUP($A17,test!$A$3:$F$32,4,FALSE)=VLOOKUP(R$1,test!$A$3:$F$32,3,FALSE)),1,0)</f>
        <v>0</v>
      </c>
      <c r="S17" s="3">
        <f>IF(AND(VLOOKUP(S$1,test!$A$3:$G$32,5,FALSE)-VLOOKUP($A17,test!$A$3:$G$32,6,FALSE)&gt;=VLOOKUP(VLOOKUP(S$1, test!$A$3:$G$32,3,FALSE), test!$J$11:$K$14, 2, FALSE)/1440,VLOOKUP($A17,test!$A$3:$F$32,4,FALSE)=VLOOKUP(S$1,test!$A$3:$F$32,3,FALSE)),1,0)</f>
        <v>0</v>
      </c>
      <c r="T17" s="3">
        <f>IF(AND(VLOOKUP(T$1,test!$A$3:$G$32,5,FALSE)-VLOOKUP($A17,test!$A$3:$G$32,6,FALSE)&gt;=VLOOKUP(VLOOKUP(T$1, test!$A$3:$G$32,3,FALSE), test!$J$11:$K$14, 2, FALSE)/1440,VLOOKUP($A17,test!$A$3:$F$32,4,FALSE)=VLOOKUP(T$1,test!$A$3:$F$32,3,FALSE)),1,0)</f>
        <v>0</v>
      </c>
      <c r="U17" s="3">
        <f>IF(AND(VLOOKUP(U$1,test!$A$3:$G$32,5,FALSE)-VLOOKUP($A17,test!$A$3:$G$32,6,FALSE)&gt;=VLOOKUP(VLOOKUP(U$1, test!$A$3:$G$32,3,FALSE), test!$J$11:$K$14, 2, FALSE)/1440,VLOOKUP($A17,test!$A$3:$F$32,4,FALSE)=VLOOKUP(U$1,test!$A$3:$F$32,3,FALSE)),1,0)</f>
        <v>0</v>
      </c>
      <c r="V17" s="3">
        <f>IF(AND(VLOOKUP(V$1,test!$A$3:$G$32,5,FALSE)-VLOOKUP($A17,test!$A$3:$G$32,6,FALSE)&gt;=VLOOKUP(VLOOKUP(V$1, test!$A$3:$G$32,3,FALSE), test!$J$11:$K$14, 2, FALSE)/1440,VLOOKUP($A17,test!$A$3:$F$32,4,FALSE)=VLOOKUP(V$1,test!$A$3:$F$32,3,FALSE)),1,0)</f>
        <v>0</v>
      </c>
      <c r="W17" s="3">
        <f>IF(AND(VLOOKUP(W$1,test!$A$3:$G$32,5,FALSE)-VLOOKUP($A17,test!$A$3:$G$32,6,FALSE)&gt;=VLOOKUP(VLOOKUP(W$1, test!$A$3:$G$32,3,FALSE), test!$J$11:$K$14, 2, FALSE)/1440,VLOOKUP($A17,test!$A$3:$F$32,4,FALSE)=VLOOKUP(W$1,test!$A$3:$F$32,3,FALSE)),1,0)</f>
        <v>0</v>
      </c>
      <c r="X17" s="3">
        <f>IF(AND(VLOOKUP(X$1,test!$A$3:$G$32,5,FALSE)-VLOOKUP($A17,test!$A$3:$G$32,6,FALSE)&gt;=VLOOKUP(VLOOKUP(X$1, test!$A$3:$G$32,3,FALSE), test!$J$11:$K$14, 2, FALSE)/1440,VLOOKUP($A17,test!$A$3:$F$32,4,FALSE)=VLOOKUP(X$1,test!$A$3:$F$32,3,FALSE)),1,0)</f>
        <v>0</v>
      </c>
      <c r="Y17" s="3">
        <f>IF(AND(VLOOKUP(Y$1,test!$A$3:$G$32,5,FALSE)-VLOOKUP($A17,test!$A$3:$G$32,6,FALSE)&gt;=VLOOKUP(VLOOKUP(Y$1, test!$A$3:$G$32,3,FALSE), test!$J$11:$K$14, 2, FALSE)/1440,VLOOKUP($A17,test!$A$3:$F$32,4,FALSE)=VLOOKUP(Y$1,test!$A$3:$F$32,3,FALSE)),1,0)</f>
        <v>0</v>
      </c>
      <c r="Z17" s="3">
        <f>IF(AND(VLOOKUP(Z$1,test!$A$3:$G$32,5,FALSE)-VLOOKUP($A17,test!$A$3:$G$32,6,FALSE)&gt;=VLOOKUP(VLOOKUP(Z$1, test!$A$3:$G$32,3,FALSE), test!$J$11:$K$14, 2, FALSE)/1440,VLOOKUP($A17,test!$A$3:$F$32,4,FALSE)=VLOOKUP(Z$1,test!$A$3:$F$32,3,FALSE)),1,0)</f>
        <v>0</v>
      </c>
      <c r="AA17" s="3">
        <f>IF(AND(VLOOKUP(AA$1,test!$A$3:$G$32,5,FALSE)-VLOOKUP($A17,test!$A$3:$G$32,6,FALSE)&gt;=VLOOKUP(VLOOKUP(AA$1, test!$A$3:$G$32,3,FALSE), test!$J$11:$K$14, 2, FALSE)/1440,VLOOKUP($A17,test!$A$3:$F$32,4,FALSE)=VLOOKUP(AA$1,test!$A$3:$F$32,3,FALSE)),1,0)</f>
        <v>0</v>
      </c>
      <c r="AB17" s="3">
        <f>IF(AND(VLOOKUP(AB$1,test!$A$3:$G$32,5,FALSE)-VLOOKUP($A17,test!$A$3:$G$32,6,FALSE)&gt;=VLOOKUP(VLOOKUP(AB$1, test!$A$3:$G$32,3,FALSE), test!$J$11:$K$14, 2, FALSE)/1440,VLOOKUP($A17,test!$A$3:$F$32,4,FALSE)=VLOOKUP(AB$1,test!$A$3:$F$32,3,FALSE)),1,0)</f>
        <v>0</v>
      </c>
      <c r="AC17" s="3">
        <f>IF(AND(VLOOKUP(AC$1,test!$A$3:$G$32,5,FALSE)-VLOOKUP($A17,test!$A$3:$G$32,6,FALSE)&gt;=VLOOKUP(VLOOKUP(AC$1, test!$A$3:$G$32,3,FALSE), test!$J$11:$K$14, 2, FALSE)/1440,VLOOKUP($A17,test!$A$3:$F$32,4,FALSE)=VLOOKUP(AC$1,test!$A$3:$F$32,3,FALSE)),1,0)</f>
        <v>0</v>
      </c>
      <c r="AD17" s="3">
        <f>IF(AND(VLOOKUP(AD$1,test!$A$3:$G$32,5,FALSE)-VLOOKUP($A17,test!$A$3:$G$32,6,FALSE)&gt;=VLOOKUP(VLOOKUP(AD$1, test!$A$3:$G$32,3,FALSE), test!$J$11:$K$14, 2, FALSE)/1440,VLOOKUP($A17,test!$A$3:$F$32,4,FALSE)=VLOOKUP(AD$1,test!$A$3:$F$32,3,FALSE)),1,0)</f>
        <v>0</v>
      </c>
      <c r="AE17" s="3">
        <f>IF(AND(VLOOKUP(AE$1,test!$A$3:$G$32,5,FALSE)-VLOOKUP($A17,test!$A$3:$G$32,6,FALSE)&gt;=VLOOKUP(VLOOKUP(AE$1, test!$A$3:$G$32,3,FALSE), test!$J$11:$K$14, 2, FALSE)/1440,VLOOKUP($A17,test!$A$3:$F$32,4,FALSE)=VLOOKUP(AE$1,test!$A$3:$F$32,3,FALSE)),1,0)</f>
        <v>0</v>
      </c>
      <c r="AF17" s="3">
        <f>IF(AND(VLOOKUP(AF$1,test!$A$3:$G$32,5,FALSE)-VLOOKUP($A17,test!$A$3:$G$32,6,FALSE)&gt;=VLOOKUP(VLOOKUP(AF$1, test!$A$3:$G$32,3,FALSE), test!$J$11:$K$14, 2, FALSE)/1440,VLOOKUP($A17,test!$A$3:$F$32,4,FALSE)=VLOOKUP(AF$1,test!$A$3:$F$32,3,FALSE)),1,0)</f>
        <v>0</v>
      </c>
    </row>
    <row r="18" spans="1:32" x14ac:dyDescent="0.25">
      <c r="A18" t="s">
        <v>27</v>
      </c>
      <c r="B18" s="4">
        <v>1</v>
      </c>
      <c r="C18" s="3">
        <f>IF(AND(VLOOKUP(C$1,test!$A$3:$G$32,5,FALSE)-VLOOKUP($A18,test!$A$3:$G$32,6,FALSE)&gt;=VLOOKUP(VLOOKUP(C$1, test!$A$3:$G$32,3,FALSE), test!$J$11:$K$14, 2, FALSE)/1440,VLOOKUP($A18,test!$A$3:$F$32,4,FALSE)=VLOOKUP(C$1,test!$A$3:$F$32,3,FALSE)),1,0)</f>
        <v>0</v>
      </c>
      <c r="D18" s="3">
        <f>IF(AND(VLOOKUP(D$1,test!$A$3:$G$32,5,FALSE)-VLOOKUP($A18,test!$A$3:$G$32,6,FALSE)&gt;=VLOOKUP(VLOOKUP(D$1, test!$A$3:$G$32,3,FALSE), test!$J$11:$K$14, 2, FALSE)/1440,VLOOKUP($A18,test!$A$3:$F$32,4,FALSE)=VLOOKUP(D$1,test!$A$3:$F$32,3,FALSE)),1,0)</f>
        <v>0</v>
      </c>
      <c r="E18" s="3">
        <f>IF(AND(VLOOKUP(E$1,test!$A$3:$G$32,5,FALSE)-VLOOKUP($A18,test!$A$3:$G$32,6,FALSE)&gt;=VLOOKUP(VLOOKUP(E$1, test!$A$3:$G$32,3,FALSE), test!$J$11:$K$14, 2, FALSE)/1440,VLOOKUP($A18,test!$A$3:$F$32,4,FALSE)=VLOOKUP(E$1,test!$A$3:$F$32,3,FALSE)),1,0)</f>
        <v>1</v>
      </c>
      <c r="F18" s="3">
        <f>IF(AND(VLOOKUP(F$1,test!$A$3:$G$32,5,FALSE)-VLOOKUP($A18,test!$A$3:$G$32,6,FALSE)&gt;=VLOOKUP(VLOOKUP(F$1, test!$A$3:$G$32,3,FALSE), test!$J$11:$K$14, 2, FALSE)/1440,VLOOKUP($A18,test!$A$3:$F$32,4,FALSE)=VLOOKUP(F$1,test!$A$3:$F$32,3,FALSE)),1,0)</f>
        <v>1</v>
      </c>
      <c r="G18" s="3">
        <f>IF(AND(VLOOKUP(G$1,test!$A$3:$G$32,5,FALSE)-VLOOKUP($A18,test!$A$3:$G$32,6,FALSE)&gt;=VLOOKUP(VLOOKUP(G$1, test!$A$3:$G$32,3,FALSE), test!$J$11:$K$14, 2, FALSE)/1440,VLOOKUP($A18,test!$A$3:$F$32,4,FALSE)=VLOOKUP(G$1,test!$A$3:$F$32,3,FALSE)),1,0)</f>
        <v>1</v>
      </c>
      <c r="H18" s="3">
        <f>IF(AND(VLOOKUP(H$1,test!$A$3:$G$32,5,FALSE)-VLOOKUP($A18,test!$A$3:$G$32,6,FALSE)&gt;=VLOOKUP(VLOOKUP(H$1, test!$A$3:$G$32,3,FALSE), test!$J$11:$K$14, 2, FALSE)/1440,VLOOKUP($A18,test!$A$3:$F$32,4,FALSE)=VLOOKUP(H$1,test!$A$3:$F$32,3,FALSE)),1,0)</f>
        <v>1</v>
      </c>
      <c r="I18" s="3">
        <f>IF(AND(VLOOKUP(I$1,test!$A$3:$G$32,5,FALSE)-VLOOKUP($A18,test!$A$3:$G$32,6,FALSE)&gt;=VLOOKUP(VLOOKUP(I$1, test!$A$3:$G$32,3,FALSE), test!$J$11:$K$14, 2, FALSE)/1440,VLOOKUP($A18,test!$A$3:$F$32,4,FALSE)=VLOOKUP(I$1,test!$A$3:$F$32,3,FALSE)),1,0)</f>
        <v>1</v>
      </c>
      <c r="J18" s="3">
        <f>IF(AND(VLOOKUP(J$1,test!$A$3:$G$32,5,FALSE)-VLOOKUP($A18,test!$A$3:$G$32,6,FALSE)&gt;=VLOOKUP(VLOOKUP(J$1, test!$A$3:$G$32,3,FALSE), test!$J$11:$K$14, 2, FALSE)/1440,VLOOKUP($A18,test!$A$3:$F$32,4,FALSE)=VLOOKUP(J$1,test!$A$3:$F$32,3,FALSE)),1,0)</f>
        <v>1</v>
      </c>
      <c r="K18" s="3">
        <f>IF(AND(VLOOKUP(K$1,test!$A$3:$G$32,5,FALSE)-VLOOKUP($A18,test!$A$3:$G$32,6,FALSE)&gt;=VLOOKUP(VLOOKUP(K$1, test!$A$3:$G$32,3,FALSE), test!$J$11:$K$14, 2, FALSE)/1440,VLOOKUP($A18,test!$A$3:$F$32,4,FALSE)=VLOOKUP(K$1,test!$A$3:$F$32,3,FALSE)),1,0)</f>
        <v>0</v>
      </c>
      <c r="L18" s="3">
        <f>IF(AND(VLOOKUP(L$1,test!$A$3:$G$32,5,FALSE)-VLOOKUP($A18,test!$A$3:$G$32,6,FALSE)&gt;=VLOOKUP(VLOOKUP(L$1, test!$A$3:$G$32,3,FALSE), test!$J$11:$K$14, 2, FALSE)/1440,VLOOKUP($A18,test!$A$3:$F$32,4,FALSE)=VLOOKUP(L$1,test!$A$3:$F$32,3,FALSE)),1,0)</f>
        <v>0</v>
      </c>
      <c r="M18" s="3">
        <f>IF(AND(VLOOKUP(M$1,test!$A$3:$G$32,5,FALSE)-VLOOKUP($A18,test!$A$3:$G$32,6,FALSE)&gt;=VLOOKUP(VLOOKUP(M$1, test!$A$3:$G$32,3,FALSE), test!$J$11:$K$14, 2, FALSE)/1440,VLOOKUP($A18,test!$A$3:$F$32,4,FALSE)=VLOOKUP(M$1,test!$A$3:$F$32,3,FALSE)),1,0)</f>
        <v>1</v>
      </c>
      <c r="N18" s="3">
        <f>IF(AND(VLOOKUP(N$1,test!$A$3:$G$32,5,FALSE)-VLOOKUP($A18,test!$A$3:$G$32,6,FALSE)&gt;=VLOOKUP(VLOOKUP(N$1, test!$A$3:$G$32,3,FALSE), test!$J$11:$K$14, 2, FALSE)/1440,VLOOKUP($A18,test!$A$3:$F$32,4,FALSE)=VLOOKUP(N$1,test!$A$3:$F$32,3,FALSE)),1,0)</f>
        <v>1</v>
      </c>
      <c r="O18" s="3">
        <f>IF(AND(VLOOKUP(O$1,test!$A$3:$G$32,5,FALSE)-VLOOKUP($A18,test!$A$3:$G$32,6,FALSE)&gt;=VLOOKUP(VLOOKUP(O$1, test!$A$3:$G$32,3,FALSE), test!$J$11:$K$14, 2, FALSE)/1440,VLOOKUP($A18,test!$A$3:$F$32,4,FALSE)=VLOOKUP(O$1,test!$A$3:$F$32,3,FALSE)),1,0)</f>
        <v>1</v>
      </c>
      <c r="P18" s="3">
        <f>IF(AND(VLOOKUP(P$1,test!$A$3:$G$32,5,FALSE)-VLOOKUP($A18,test!$A$3:$G$32,6,FALSE)&gt;=VLOOKUP(VLOOKUP(P$1, test!$A$3:$G$32,3,FALSE), test!$J$11:$K$14, 2, FALSE)/1440,VLOOKUP($A18,test!$A$3:$F$32,4,FALSE)=VLOOKUP(P$1,test!$A$3:$F$32,3,FALSE)),1,0)</f>
        <v>0</v>
      </c>
      <c r="Q18" s="3">
        <f>IF(AND(VLOOKUP(Q$1,test!$A$3:$G$32,5,FALSE)-VLOOKUP($A18,test!$A$3:$G$32,6,FALSE)&gt;=VLOOKUP(VLOOKUP(Q$1, test!$A$3:$G$32,3,FALSE), test!$J$11:$K$14, 2, FALSE)/1440,VLOOKUP($A18,test!$A$3:$F$32,4,FALSE)=VLOOKUP(Q$1,test!$A$3:$F$32,3,FALSE)),1,0)</f>
        <v>0</v>
      </c>
      <c r="R18" s="3">
        <f>IF(AND(VLOOKUP(R$1,test!$A$3:$G$32,5,FALSE)-VLOOKUP($A18,test!$A$3:$G$32,6,FALSE)&gt;=VLOOKUP(VLOOKUP(R$1, test!$A$3:$G$32,3,FALSE), test!$J$11:$K$14, 2, FALSE)/1440,VLOOKUP($A18,test!$A$3:$F$32,4,FALSE)=VLOOKUP(R$1,test!$A$3:$F$32,3,FALSE)),1,0)</f>
        <v>0</v>
      </c>
      <c r="S18" s="3">
        <f>IF(AND(VLOOKUP(S$1,test!$A$3:$G$32,5,FALSE)-VLOOKUP($A18,test!$A$3:$G$32,6,FALSE)&gt;=VLOOKUP(VLOOKUP(S$1, test!$A$3:$G$32,3,FALSE), test!$J$11:$K$14, 2, FALSE)/1440,VLOOKUP($A18,test!$A$3:$F$32,4,FALSE)=VLOOKUP(S$1,test!$A$3:$F$32,3,FALSE)),1,0)</f>
        <v>0</v>
      </c>
      <c r="T18" s="3">
        <f>IF(AND(VLOOKUP(T$1,test!$A$3:$G$32,5,FALSE)-VLOOKUP($A18,test!$A$3:$G$32,6,FALSE)&gt;=VLOOKUP(VLOOKUP(T$1, test!$A$3:$G$32,3,FALSE), test!$J$11:$K$14, 2, FALSE)/1440,VLOOKUP($A18,test!$A$3:$F$32,4,FALSE)=VLOOKUP(T$1,test!$A$3:$F$32,3,FALSE)),1,0)</f>
        <v>0</v>
      </c>
      <c r="U18" s="3">
        <f>IF(AND(VLOOKUP(U$1,test!$A$3:$G$32,5,FALSE)-VLOOKUP($A18,test!$A$3:$G$32,6,FALSE)&gt;=VLOOKUP(VLOOKUP(U$1, test!$A$3:$G$32,3,FALSE), test!$J$11:$K$14, 2, FALSE)/1440,VLOOKUP($A18,test!$A$3:$F$32,4,FALSE)=VLOOKUP(U$1,test!$A$3:$F$32,3,FALSE)),1,0)</f>
        <v>0</v>
      </c>
      <c r="V18" s="3">
        <f>IF(AND(VLOOKUP(V$1,test!$A$3:$G$32,5,FALSE)-VLOOKUP($A18,test!$A$3:$G$32,6,FALSE)&gt;=VLOOKUP(VLOOKUP(V$1, test!$A$3:$G$32,3,FALSE), test!$J$11:$K$14, 2, FALSE)/1440,VLOOKUP($A18,test!$A$3:$F$32,4,FALSE)=VLOOKUP(V$1,test!$A$3:$F$32,3,FALSE)),1,0)</f>
        <v>0</v>
      </c>
      <c r="W18" s="3">
        <f>IF(AND(VLOOKUP(W$1,test!$A$3:$G$32,5,FALSE)-VLOOKUP($A18,test!$A$3:$G$32,6,FALSE)&gt;=VLOOKUP(VLOOKUP(W$1, test!$A$3:$G$32,3,FALSE), test!$J$11:$K$14, 2, FALSE)/1440,VLOOKUP($A18,test!$A$3:$F$32,4,FALSE)=VLOOKUP(W$1,test!$A$3:$F$32,3,FALSE)),1,0)</f>
        <v>0</v>
      </c>
      <c r="X18" s="3">
        <f>IF(AND(VLOOKUP(X$1,test!$A$3:$G$32,5,FALSE)-VLOOKUP($A18,test!$A$3:$G$32,6,FALSE)&gt;=VLOOKUP(VLOOKUP(X$1, test!$A$3:$G$32,3,FALSE), test!$J$11:$K$14, 2, FALSE)/1440,VLOOKUP($A18,test!$A$3:$F$32,4,FALSE)=VLOOKUP(X$1,test!$A$3:$F$32,3,FALSE)),1,0)</f>
        <v>0</v>
      </c>
      <c r="Y18" s="3">
        <f>IF(AND(VLOOKUP(Y$1,test!$A$3:$G$32,5,FALSE)-VLOOKUP($A18,test!$A$3:$G$32,6,FALSE)&gt;=VLOOKUP(VLOOKUP(Y$1, test!$A$3:$G$32,3,FALSE), test!$J$11:$K$14, 2, FALSE)/1440,VLOOKUP($A18,test!$A$3:$F$32,4,FALSE)=VLOOKUP(Y$1,test!$A$3:$F$32,3,FALSE)),1,0)</f>
        <v>0</v>
      </c>
      <c r="Z18" s="3">
        <f>IF(AND(VLOOKUP(Z$1,test!$A$3:$G$32,5,FALSE)-VLOOKUP($A18,test!$A$3:$G$32,6,FALSE)&gt;=VLOOKUP(VLOOKUP(Z$1, test!$A$3:$G$32,3,FALSE), test!$J$11:$K$14, 2, FALSE)/1440,VLOOKUP($A18,test!$A$3:$F$32,4,FALSE)=VLOOKUP(Z$1,test!$A$3:$F$32,3,FALSE)),1,0)</f>
        <v>0</v>
      </c>
      <c r="AA18" s="3">
        <f>IF(AND(VLOOKUP(AA$1,test!$A$3:$G$32,5,FALSE)-VLOOKUP($A18,test!$A$3:$G$32,6,FALSE)&gt;=VLOOKUP(VLOOKUP(AA$1, test!$A$3:$G$32,3,FALSE), test!$J$11:$K$14, 2, FALSE)/1440,VLOOKUP($A18,test!$A$3:$F$32,4,FALSE)=VLOOKUP(AA$1,test!$A$3:$F$32,3,FALSE)),1,0)</f>
        <v>0</v>
      </c>
      <c r="AB18" s="3">
        <f>IF(AND(VLOOKUP(AB$1,test!$A$3:$G$32,5,FALSE)-VLOOKUP($A18,test!$A$3:$G$32,6,FALSE)&gt;=VLOOKUP(VLOOKUP(AB$1, test!$A$3:$G$32,3,FALSE), test!$J$11:$K$14, 2, FALSE)/1440,VLOOKUP($A18,test!$A$3:$F$32,4,FALSE)=VLOOKUP(AB$1,test!$A$3:$F$32,3,FALSE)),1,0)</f>
        <v>0</v>
      </c>
      <c r="AC18" s="3">
        <f>IF(AND(VLOOKUP(AC$1,test!$A$3:$G$32,5,FALSE)-VLOOKUP($A18,test!$A$3:$G$32,6,FALSE)&gt;=VLOOKUP(VLOOKUP(AC$1, test!$A$3:$G$32,3,FALSE), test!$J$11:$K$14, 2, FALSE)/1440,VLOOKUP($A18,test!$A$3:$F$32,4,FALSE)=VLOOKUP(AC$1,test!$A$3:$F$32,3,FALSE)),1,0)</f>
        <v>0</v>
      </c>
      <c r="AD18" s="3">
        <f>IF(AND(VLOOKUP(AD$1,test!$A$3:$G$32,5,FALSE)-VLOOKUP($A18,test!$A$3:$G$32,6,FALSE)&gt;=VLOOKUP(VLOOKUP(AD$1, test!$A$3:$G$32,3,FALSE), test!$J$11:$K$14, 2, FALSE)/1440,VLOOKUP($A18,test!$A$3:$F$32,4,FALSE)=VLOOKUP(AD$1,test!$A$3:$F$32,3,FALSE)),1,0)</f>
        <v>0</v>
      </c>
      <c r="AE18" s="3">
        <f>IF(AND(VLOOKUP(AE$1,test!$A$3:$G$32,5,FALSE)-VLOOKUP($A18,test!$A$3:$G$32,6,FALSE)&gt;=VLOOKUP(VLOOKUP(AE$1, test!$A$3:$G$32,3,FALSE), test!$J$11:$K$14, 2, FALSE)/1440,VLOOKUP($A18,test!$A$3:$F$32,4,FALSE)=VLOOKUP(AE$1,test!$A$3:$F$32,3,FALSE)),1,0)</f>
        <v>0</v>
      </c>
      <c r="AF18" s="3">
        <f>IF(AND(VLOOKUP(AF$1,test!$A$3:$G$32,5,FALSE)-VLOOKUP($A18,test!$A$3:$G$32,6,FALSE)&gt;=VLOOKUP(VLOOKUP(AF$1, test!$A$3:$G$32,3,FALSE), test!$J$11:$K$14, 2, FALSE)/1440,VLOOKUP($A18,test!$A$3:$F$32,4,FALSE)=VLOOKUP(AF$1,test!$A$3:$F$32,3,FALSE)),1,0)</f>
        <v>0</v>
      </c>
    </row>
    <row r="19" spans="1:32" x14ac:dyDescent="0.25">
      <c r="A19" t="s">
        <v>28</v>
      </c>
      <c r="B19" s="4">
        <v>1</v>
      </c>
      <c r="C19" s="3">
        <f>IF(AND(VLOOKUP(C$1,test!$A$3:$G$32,5,FALSE)-VLOOKUP($A19,test!$A$3:$G$32,6,FALSE)&gt;=VLOOKUP(VLOOKUP(C$1, test!$A$3:$G$32,3,FALSE), test!$J$11:$K$14, 2, FALSE)/1440,VLOOKUP($A19,test!$A$3:$F$32,4,FALSE)=VLOOKUP(C$1,test!$A$3:$F$32,3,FALSE)),1,0)</f>
        <v>0</v>
      </c>
      <c r="D19" s="3">
        <f>IF(AND(VLOOKUP(D$1,test!$A$3:$G$32,5,FALSE)-VLOOKUP($A19,test!$A$3:$G$32,6,FALSE)&gt;=VLOOKUP(VLOOKUP(D$1, test!$A$3:$G$32,3,FALSE), test!$J$11:$K$14, 2, FALSE)/1440,VLOOKUP($A19,test!$A$3:$F$32,4,FALSE)=VLOOKUP(D$1,test!$A$3:$F$32,3,FALSE)),1,0)</f>
        <v>0</v>
      </c>
      <c r="E19" s="3">
        <f>IF(AND(VLOOKUP(E$1,test!$A$3:$G$32,5,FALSE)-VLOOKUP($A19,test!$A$3:$G$32,6,FALSE)&gt;=VLOOKUP(VLOOKUP(E$1, test!$A$3:$G$32,3,FALSE), test!$J$11:$K$14, 2, FALSE)/1440,VLOOKUP($A19,test!$A$3:$F$32,4,FALSE)=VLOOKUP(E$1,test!$A$3:$F$32,3,FALSE)),1,0)</f>
        <v>0</v>
      </c>
      <c r="F19" s="3">
        <f>IF(AND(VLOOKUP(F$1,test!$A$3:$G$32,5,FALSE)-VLOOKUP($A19,test!$A$3:$G$32,6,FALSE)&gt;=VLOOKUP(VLOOKUP(F$1, test!$A$3:$G$32,3,FALSE), test!$J$11:$K$14, 2, FALSE)/1440,VLOOKUP($A19,test!$A$3:$F$32,4,FALSE)=VLOOKUP(F$1,test!$A$3:$F$32,3,FALSE)),1,0)</f>
        <v>1</v>
      </c>
      <c r="G19" s="3">
        <f>IF(AND(VLOOKUP(G$1,test!$A$3:$G$32,5,FALSE)-VLOOKUP($A19,test!$A$3:$G$32,6,FALSE)&gt;=VLOOKUP(VLOOKUP(G$1, test!$A$3:$G$32,3,FALSE), test!$J$11:$K$14, 2, FALSE)/1440,VLOOKUP($A19,test!$A$3:$F$32,4,FALSE)=VLOOKUP(G$1,test!$A$3:$F$32,3,FALSE)),1,0)</f>
        <v>1</v>
      </c>
      <c r="H19" s="3">
        <f>IF(AND(VLOOKUP(H$1,test!$A$3:$G$32,5,FALSE)-VLOOKUP($A19,test!$A$3:$G$32,6,FALSE)&gt;=VLOOKUP(VLOOKUP(H$1, test!$A$3:$G$32,3,FALSE), test!$J$11:$K$14, 2, FALSE)/1440,VLOOKUP($A19,test!$A$3:$F$32,4,FALSE)=VLOOKUP(H$1,test!$A$3:$F$32,3,FALSE)),1,0)</f>
        <v>1</v>
      </c>
      <c r="I19" s="3">
        <f>IF(AND(VLOOKUP(I$1,test!$A$3:$G$32,5,FALSE)-VLOOKUP($A19,test!$A$3:$G$32,6,FALSE)&gt;=VLOOKUP(VLOOKUP(I$1, test!$A$3:$G$32,3,FALSE), test!$J$11:$K$14, 2, FALSE)/1440,VLOOKUP($A19,test!$A$3:$F$32,4,FALSE)=VLOOKUP(I$1,test!$A$3:$F$32,3,FALSE)),1,0)</f>
        <v>1</v>
      </c>
      <c r="J19" s="3">
        <f>IF(AND(VLOOKUP(J$1,test!$A$3:$G$32,5,FALSE)-VLOOKUP($A19,test!$A$3:$G$32,6,FALSE)&gt;=VLOOKUP(VLOOKUP(J$1, test!$A$3:$G$32,3,FALSE), test!$J$11:$K$14, 2, FALSE)/1440,VLOOKUP($A19,test!$A$3:$F$32,4,FALSE)=VLOOKUP(J$1,test!$A$3:$F$32,3,FALSE)),1,0)</f>
        <v>1</v>
      </c>
      <c r="K19" s="3">
        <f>IF(AND(VLOOKUP(K$1,test!$A$3:$G$32,5,FALSE)-VLOOKUP($A19,test!$A$3:$G$32,6,FALSE)&gt;=VLOOKUP(VLOOKUP(K$1, test!$A$3:$G$32,3,FALSE), test!$J$11:$K$14, 2, FALSE)/1440,VLOOKUP($A19,test!$A$3:$F$32,4,FALSE)=VLOOKUP(K$1,test!$A$3:$F$32,3,FALSE)),1,0)</f>
        <v>0</v>
      </c>
      <c r="L19" s="3">
        <f>IF(AND(VLOOKUP(L$1,test!$A$3:$G$32,5,FALSE)-VLOOKUP($A19,test!$A$3:$G$32,6,FALSE)&gt;=VLOOKUP(VLOOKUP(L$1, test!$A$3:$G$32,3,FALSE), test!$J$11:$K$14, 2, FALSE)/1440,VLOOKUP($A19,test!$A$3:$F$32,4,FALSE)=VLOOKUP(L$1,test!$A$3:$F$32,3,FALSE)),1,0)</f>
        <v>0</v>
      </c>
      <c r="M19" s="3">
        <f>IF(AND(VLOOKUP(M$1,test!$A$3:$G$32,5,FALSE)-VLOOKUP($A19,test!$A$3:$G$32,6,FALSE)&gt;=VLOOKUP(VLOOKUP(M$1, test!$A$3:$G$32,3,FALSE), test!$J$11:$K$14, 2, FALSE)/1440,VLOOKUP($A19,test!$A$3:$F$32,4,FALSE)=VLOOKUP(M$1,test!$A$3:$F$32,3,FALSE)),1,0)</f>
        <v>0</v>
      </c>
      <c r="N19" s="3">
        <f>IF(AND(VLOOKUP(N$1,test!$A$3:$G$32,5,FALSE)-VLOOKUP($A19,test!$A$3:$G$32,6,FALSE)&gt;=VLOOKUP(VLOOKUP(N$1, test!$A$3:$G$32,3,FALSE), test!$J$11:$K$14, 2, FALSE)/1440,VLOOKUP($A19,test!$A$3:$F$32,4,FALSE)=VLOOKUP(N$1,test!$A$3:$F$32,3,FALSE)),1,0)</f>
        <v>1</v>
      </c>
      <c r="O19" s="3">
        <f>IF(AND(VLOOKUP(O$1,test!$A$3:$G$32,5,FALSE)-VLOOKUP($A19,test!$A$3:$G$32,6,FALSE)&gt;=VLOOKUP(VLOOKUP(O$1, test!$A$3:$G$32,3,FALSE), test!$J$11:$K$14, 2, FALSE)/1440,VLOOKUP($A19,test!$A$3:$F$32,4,FALSE)=VLOOKUP(O$1,test!$A$3:$F$32,3,FALSE)),1,0)</f>
        <v>1</v>
      </c>
      <c r="P19" s="3">
        <f>IF(AND(VLOOKUP(P$1,test!$A$3:$G$32,5,FALSE)-VLOOKUP($A19,test!$A$3:$G$32,6,FALSE)&gt;=VLOOKUP(VLOOKUP(P$1, test!$A$3:$G$32,3,FALSE), test!$J$11:$K$14, 2, FALSE)/1440,VLOOKUP($A19,test!$A$3:$F$32,4,FALSE)=VLOOKUP(P$1,test!$A$3:$F$32,3,FALSE)),1,0)</f>
        <v>0</v>
      </c>
      <c r="Q19" s="3">
        <f>IF(AND(VLOOKUP(Q$1,test!$A$3:$G$32,5,FALSE)-VLOOKUP($A19,test!$A$3:$G$32,6,FALSE)&gt;=VLOOKUP(VLOOKUP(Q$1, test!$A$3:$G$32,3,FALSE), test!$J$11:$K$14, 2, FALSE)/1440,VLOOKUP($A19,test!$A$3:$F$32,4,FALSE)=VLOOKUP(Q$1,test!$A$3:$F$32,3,FALSE)),1,0)</f>
        <v>0</v>
      </c>
      <c r="R19" s="3">
        <f>IF(AND(VLOOKUP(R$1,test!$A$3:$G$32,5,FALSE)-VLOOKUP($A19,test!$A$3:$G$32,6,FALSE)&gt;=VLOOKUP(VLOOKUP(R$1, test!$A$3:$G$32,3,FALSE), test!$J$11:$K$14, 2, FALSE)/1440,VLOOKUP($A19,test!$A$3:$F$32,4,FALSE)=VLOOKUP(R$1,test!$A$3:$F$32,3,FALSE)),1,0)</f>
        <v>0</v>
      </c>
      <c r="S19" s="3">
        <f>IF(AND(VLOOKUP(S$1,test!$A$3:$G$32,5,FALSE)-VLOOKUP($A19,test!$A$3:$G$32,6,FALSE)&gt;=VLOOKUP(VLOOKUP(S$1, test!$A$3:$G$32,3,FALSE), test!$J$11:$K$14, 2, FALSE)/1440,VLOOKUP($A19,test!$A$3:$F$32,4,FALSE)=VLOOKUP(S$1,test!$A$3:$F$32,3,FALSE)),1,0)</f>
        <v>0</v>
      </c>
      <c r="T19" s="3">
        <f>IF(AND(VLOOKUP(T$1,test!$A$3:$G$32,5,FALSE)-VLOOKUP($A19,test!$A$3:$G$32,6,FALSE)&gt;=VLOOKUP(VLOOKUP(T$1, test!$A$3:$G$32,3,FALSE), test!$J$11:$K$14, 2, FALSE)/1440,VLOOKUP($A19,test!$A$3:$F$32,4,FALSE)=VLOOKUP(T$1,test!$A$3:$F$32,3,FALSE)),1,0)</f>
        <v>0</v>
      </c>
      <c r="U19" s="3">
        <f>IF(AND(VLOOKUP(U$1,test!$A$3:$G$32,5,FALSE)-VLOOKUP($A19,test!$A$3:$G$32,6,FALSE)&gt;=VLOOKUP(VLOOKUP(U$1, test!$A$3:$G$32,3,FALSE), test!$J$11:$K$14, 2, FALSE)/1440,VLOOKUP($A19,test!$A$3:$F$32,4,FALSE)=VLOOKUP(U$1,test!$A$3:$F$32,3,FALSE)),1,0)</f>
        <v>0</v>
      </c>
      <c r="V19" s="3">
        <f>IF(AND(VLOOKUP(V$1,test!$A$3:$G$32,5,FALSE)-VLOOKUP($A19,test!$A$3:$G$32,6,FALSE)&gt;=VLOOKUP(VLOOKUP(V$1, test!$A$3:$G$32,3,FALSE), test!$J$11:$K$14, 2, FALSE)/1440,VLOOKUP($A19,test!$A$3:$F$32,4,FALSE)=VLOOKUP(V$1,test!$A$3:$F$32,3,FALSE)),1,0)</f>
        <v>0</v>
      </c>
      <c r="W19" s="3">
        <f>IF(AND(VLOOKUP(W$1,test!$A$3:$G$32,5,FALSE)-VLOOKUP($A19,test!$A$3:$G$32,6,FALSE)&gt;=VLOOKUP(VLOOKUP(W$1, test!$A$3:$G$32,3,FALSE), test!$J$11:$K$14, 2, FALSE)/1440,VLOOKUP($A19,test!$A$3:$F$32,4,FALSE)=VLOOKUP(W$1,test!$A$3:$F$32,3,FALSE)),1,0)</f>
        <v>0</v>
      </c>
      <c r="X19" s="3">
        <f>IF(AND(VLOOKUP(X$1,test!$A$3:$G$32,5,FALSE)-VLOOKUP($A19,test!$A$3:$G$32,6,FALSE)&gt;=VLOOKUP(VLOOKUP(X$1, test!$A$3:$G$32,3,FALSE), test!$J$11:$K$14, 2, FALSE)/1440,VLOOKUP($A19,test!$A$3:$F$32,4,FALSE)=VLOOKUP(X$1,test!$A$3:$F$32,3,FALSE)),1,0)</f>
        <v>0</v>
      </c>
      <c r="Y19" s="3">
        <f>IF(AND(VLOOKUP(Y$1,test!$A$3:$G$32,5,FALSE)-VLOOKUP($A19,test!$A$3:$G$32,6,FALSE)&gt;=VLOOKUP(VLOOKUP(Y$1, test!$A$3:$G$32,3,FALSE), test!$J$11:$K$14, 2, FALSE)/1440,VLOOKUP($A19,test!$A$3:$F$32,4,FALSE)=VLOOKUP(Y$1,test!$A$3:$F$32,3,FALSE)),1,0)</f>
        <v>0</v>
      </c>
      <c r="Z19" s="3">
        <f>IF(AND(VLOOKUP(Z$1,test!$A$3:$G$32,5,FALSE)-VLOOKUP($A19,test!$A$3:$G$32,6,FALSE)&gt;=VLOOKUP(VLOOKUP(Z$1, test!$A$3:$G$32,3,FALSE), test!$J$11:$K$14, 2, FALSE)/1440,VLOOKUP($A19,test!$A$3:$F$32,4,FALSE)=VLOOKUP(Z$1,test!$A$3:$F$32,3,FALSE)),1,0)</f>
        <v>0</v>
      </c>
      <c r="AA19" s="3">
        <f>IF(AND(VLOOKUP(AA$1,test!$A$3:$G$32,5,FALSE)-VLOOKUP($A19,test!$A$3:$G$32,6,FALSE)&gt;=VLOOKUP(VLOOKUP(AA$1, test!$A$3:$G$32,3,FALSE), test!$J$11:$K$14, 2, FALSE)/1440,VLOOKUP($A19,test!$A$3:$F$32,4,FALSE)=VLOOKUP(AA$1,test!$A$3:$F$32,3,FALSE)),1,0)</f>
        <v>0</v>
      </c>
      <c r="AB19" s="3">
        <f>IF(AND(VLOOKUP(AB$1,test!$A$3:$G$32,5,FALSE)-VLOOKUP($A19,test!$A$3:$G$32,6,FALSE)&gt;=VLOOKUP(VLOOKUP(AB$1, test!$A$3:$G$32,3,FALSE), test!$J$11:$K$14, 2, FALSE)/1440,VLOOKUP($A19,test!$A$3:$F$32,4,FALSE)=VLOOKUP(AB$1,test!$A$3:$F$32,3,FALSE)),1,0)</f>
        <v>0</v>
      </c>
      <c r="AC19" s="3">
        <f>IF(AND(VLOOKUP(AC$1,test!$A$3:$G$32,5,FALSE)-VLOOKUP($A19,test!$A$3:$G$32,6,FALSE)&gt;=VLOOKUP(VLOOKUP(AC$1, test!$A$3:$G$32,3,FALSE), test!$J$11:$K$14, 2, FALSE)/1440,VLOOKUP($A19,test!$A$3:$F$32,4,FALSE)=VLOOKUP(AC$1,test!$A$3:$F$32,3,FALSE)),1,0)</f>
        <v>0</v>
      </c>
      <c r="AD19" s="3">
        <f>IF(AND(VLOOKUP(AD$1,test!$A$3:$G$32,5,FALSE)-VLOOKUP($A19,test!$A$3:$G$32,6,FALSE)&gt;=VLOOKUP(VLOOKUP(AD$1, test!$A$3:$G$32,3,FALSE), test!$J$11:$K$14, 2, FALSE)/1440,VLOOKUP($A19,test!$A$3:$F$32,4,FALSE)=VLOOKUP(AD$1,test!$A$3:$F$32,3,FALSE)),1,0)</f>
        <v>0</v>
      </c>
      <c r="AE19" s="3">
        <f>IF(AND(VLOOKUP(AE$1,test!$A$3:$G$32,5,FALSE)-VLOOKUP($A19,test!$A$3:$G$32,6,FALSE)&gt;=VLOOKUP(VLOOKUP(AE$1, test!$A$3:$G$32,3,FALSE), test!$J$11:$K$14, 2, FALSE)/1440,VLOOKUP($A19,test!$A$3:$F$32,4,FALSE)=VLOOKUP(AE$1,test!$A$3:$F$32,3,FALSE)),1,0)</f>
        <v>0</v>
      </c>
      <c r="AF19" s="3">
        <f>IF(AND(VLOOKUP(AF$1,test!$A$3:$G$32,5,FALSE)-VLOOKUP($A19,test!$A$3:$G$32,6,FALSE)&gt;=VLOOKUP(VLOOKUP(AF$1, test!$A$3:$G$32,3,FALSE), test!$J$11:$K$14, 2, FALSE)/1440,VLOOKUP($A19,test!$A$3:$F$32,4,FALSE)=VLOOKUP(AF$1,test!$A$3:$F$32,3,FALSE)),1,0)</f>
        <v>0</v>
      </c>
    </row>
    <row r="20" spans="1:32" x14ac:dyDescent="0.25">
      <c r="A20" t="s">
        <v>29</v>
      </c>
      <c r="B20" s="4">
        <v>1</v>
      </c>
      <c r="C20" s="3">
        <f>IF(AND(VLOOKUP(C$1,test!$A$3:$G$32,5,FALSE)-VLOOKUP($A20,test!$A$3:$G$32,6,FALSE)&gt;=VLOOKUP(VLOOKUP(C$1, test!$A$3:$G$32,3,FALSE), test!$J$11:$K$14, 2, FALSE)/1440,VLOOKUP($A20,test!$A$3:$F$32,4,FALSE)=VLOOKUP(C$1,test!$A$3:$F$32,3,FALSE)),1,0)</f>
        <v>0</v>
      </c>
      <c r="D20" s="3">
        <f>IF(AND(VLOOKUP(D$1,test!$A$3:$G$32,5,FALSE)-VLOOKUP($A20,test!$A$3:$G$32,6,FALSE)&gt;=VLOOKUP(VLOOKUP(D$1, test!$A$3:$G$32,3,FALSE), test!$J$11:$K$14, 2, FALSE)/1440,VLOOKUP($A20,test!$A$3:$F$32,4,FALSE)=VLOOKUP(D$1,test!$A$3:$F$32,3,FALSE)),1,0)</f>
        <v>0</v>
      </c>
      <c r="E20" s="3">
        <f>IF(AND(VLOOKUP(E$1,test!$A$3:$G$32,5,FALSE)-VLOOKUP($A20,test!$A$3:$G$32,6,FALSE)&gt;=VLOOKUP(VLOOKUP(E$1, test!$A$3:$G$32,3,FALSE), test!$J$11:$K$14, 2, FALSE)/1440,VLOOKUP($A20,test!$A$3:$F$32,4,FALSE)=VLOOKUP(E$1,test!$A$3:$F$32,3,FALSE)),1,0)</f>
        <v>0</v>
      </c>
      <c r="F20" s="3">
        <f>IF(AND(VLOOKUP(F$1,test!$A$3:$G$32,5,FALSE)-VLOOKUP($A20,test!$A$3:$G$32,6,FALSE)&gt;=VLOOKUP(VLOOKUP(F$1, test!$A$3:$G$32,3,FALSE), test!$J$11:$K$14, 2, FALSE)/1440,VLOOKUP($A20,test!$A$3:$F$32,4,FALSE)=VLOOKUP(F$1,test!$A$3:$F$32,3,FALSE)),1,0)</f>
        <v>0</v>
      </c>
      <c r="G20" s="3">
        <f>IF(AND(VLOOKUP(G$1,test!$A$3:$G$32,5,FALSE)-VLOOKUP($A20,test!$A$3:$G$32,6,FALSE)&gt;=VLOOKUP(VLOOKUP(G$1, test!$A$3:$G$32,3,FALSE), test!$J$11:$K$14, 2, FALSE)/1440,VLOOKUP($A20,test!$A$3:$F$32,4,FALSE)=VLOOKUP(G$1,test!$A$3:$F$32,3,FALSE)),1,0)</f>
        <v>1</v>
      </c>
      <c r="H20" s="3">
        <f>IF(AND(VLOOKUP(H$1,test!$A$3:$G$32,5,FALSE)-VLOOKUP($A20,test!$A$3:$G$32,6,FALSE)&gt;=VLOOKUP(VLOOKUP(H$1, test!$A$3:$G$32,3,FALSE), test!$J$11:$K$14, 2, FALSE)/1440,VLOOKUP($A20,test!$A$3:$F$32,4,FALSE)=VLOOKUP(H$1,test!$A$3:$F$32,3,FALSE)),1,0)</f>
        <v>1</v>
      </c>
      <c r="I20" s="3">
        <f>IF(AND(VLOOKUP(I$1,test!$A$3:$G$32,5,FALSE)-VLOOKUP($A20,test!$A$3:$G$32,6,FALSE)&gt;=VLOOKUP(VLOOKUP(I$1, test!$A$3:$G$32,3,FALSE), test!$J$11:$K$14, 2, FALSE)/1440,VLOOKUP($A20,test!$A$3:$F$32,4,FALSE)=VLOOKUP(I$1,test!$A$3:$F$32,3,FALSE)),1,0)</f>
        <v>1</v>
      </c>
      <c r="J20" s="3">
        <f>IF(AND(VLOOKUP(J$1,test!$A$3:$G$32,5,FALSE)-VLOOKUP($A20,test!$A$3:$G$32,6,FALSE)&gt;=VLOOKUP(VLOOKUP(J$1, test!$A$3:$G$32,3,FALSE), test!$J$11:$K$14, 2, FALSE)/1440,VLOOKUP($A20,test!$A$3:$F$32,4,FALSE)=VLOOKUP(J$1,test!$A$3:$F$32,3,FALSE)),1,0)</f>
        <v>1</v>
      </c>
      <c r="K20" s="3">
        <f>IF(AND(VLOOKUP(K$1,test!$A$3:$G$32,5,FALSE)-VLOOKUP($A20,test!$A$3:$G$32,6,FALSE)&gt;=VLOOKUP(VLOOKUP(K$1, test!$A$3:$G$32,3,FALSE), test!$J$11:$K$14, 2, FALSE)/1440,VLOOKUP($A20,test!$A$3:$F$32,4,FALSE)=VLOOKUP(K$1,test!$A$3:$F$32,3,FALSE)),1,0)</f>
        <v>0</v>
      </c>
      <c r="L20" s="3">
        <f>IF(AND(VLOOKUP(L$1,test!$A$3:$G$32,5,FALSE)-VLOOKUP($A20,test!$A$3:$G$32,6,FALSE)&gt;=VLOOKUP(VLOOKUP(L$1, test!$A$3:$G$32,3,FALSE), test!$J$11:$K$14, 2, FALSE)/1440,VLOOKUP($A20,test!$A$3:$F$32,4,FALSE)=VLOOKUP(L$1,test!$A$3:$F$32,3,FALSE)),1,0)</f>
        <v>0</v>
      </c>
      <c r="M20" s="3">
        <f>IF(AND(VLOOKUP(M$1,test!$A$3:$G$32,5,FALSE)-VLOOKUP($A20,test!$A$3:$G$32,6,FALSE)&gt;=VLOOKUP(VLOOKUP(M$1, test!$A$3:$G$32,3,FALSE), test!$J$11:$K$14, 2, FALSE)/1440,VLOOKUP($A20,test!$A$3:$F$32,4,FALSE)=VLOOKUP(M$1,test!$A$3:$F$32,3,FALSE)),1,0)</f>
        <v>0</v>
      </c>
      <c r="N20" s="3">
        <f>IF(AND(VLOOKUP(N$1,test!$A$3:$G$32,5,FALSE)-VLOOKUP($A20,test!$A$3:$G$32,6,FALSE)&gt;=VLOOKUP(VLOOKUP(N$1, test!$A$3:$G$32,3,FALSE), test!$J$11:$K$14, 2, FALSE)/1440,VLOOKUP($A20,test!$A$3:$F$32,4,FALSE)=VLOOKUP(N$1,test!$A$3:$F$32,3,FALSE)),1,0)</f>
        <v>1</v>
      </c>
      <c r="O20" s="3">
        <f>IF(AND(VLOOKUP(O$1,test!$A$3:$G$32,5,FALSE)-VLOOKUP($A20,test!$A$3:$G$32,6,FALSE)&gt;=VLOOKUP(VLOOKUP(O$1, test!$A$3:$G$32,3,FALSE), test!$J$11:$K$14, 2, FALSE)/1440,VLOOKUP($A20,test!$A$3:$F$32,4,FALSE)=VLOOKUP(O$1,test!$A$3:$F$32,3,FALSE)),1,0)</f>
        <v>1</v>
      </c>
      <c r="P20" s="3">
        <f>IF(AND(VLOOKUP(P$1,test!$A$3:$G$32,5,FALSE)-VLOOKUP($A20,test!$A$3:$G$32,6,FALSE)&gt;=VLOOKUP(VLOOKUP(P$1, test!$A$3:$G$32,3,FALSE), test!$J$11:$K$14, 2, FALSE)/1440,VLOOKUP($A20,test!$A$3:$F$32,4,FALSE)=VLOOKUP(P$1,test!$A$3:$F$32,3,FALSE)),1,0)</f>
        <v>0</v>
      </c>
      <c r="Q20" s="3">
        <f>IF(AND(VLOOKUP(Q$1,test!$A$3:$G$32,5,FALSE)-VLOOKUP($A20,test!$A$3:$G$32,6,FALSE)&gt;=VLOOKUP(VLOOKUP(Q$1, test!$A$3:$G$32,3,FALSE), test!$J$11:$K$14, 2, FALSE)/1440,VLOOKUP($A20,test!$A$3:$F$32,4,FALSE)=VLOOKUP(Q$1,test!$A$3:$F$32,3,FALSE)),1,0)</f>
        <v>0</v>
      </c>
      <c r="R20" s="3">
        <f>IF(AND(VLOOKUP(R$1,test!$A$3:$G$32,5,FALSE)-VLOOKUP($A20,test!$A$3:$G$32,6,FALSE)&gt;=VLOOKUP(VLOOKUP(R$1, test!$A$3:$G$32,3,FALSE), test!$J$11:$K$14, 2, FALSE)/1440,VLOOKUP($A20,test!$A$3:$F$32,4,FALSE)=VLOOKUP(R$1,test!$A$3:$F$32,3,FALSE)),1,0)</f>
        <v>0</v>
      </c>
      <c r="S20" s="3">
        <f>IF(AND(VLOOKUP(S$1,test!$A$3:$G$32,5,FALSE)-VLOOKUP($A20,test!$A$3:$G$32,6,FALSE)&gt;=VLOOKUP(VLOOKUP(S$1, test!$A$3:$G$32,3,FALSE), test!$J$11:$K$14, 2, FALSE)/1440,VLOOKUP($A20,test!$A$3:$F$32,4,FALSE)=VLOOKUP(S$1,test!$A$3:$F$32,3,FALSE)),1,0)</f>
        <v>0</v>
      </c>
      <c r="T20" s="3">
        <f>IF(AND(VLOOKUP(T$1,test!$A$3:$G$32,5,FALSE)-VLOOKUP($A20,test!$A$3:$G$32,6,FALSE)&gt;=VLOOKUP(VLOOKUP(T$1, test!$A$3:$G$32,3,FALSE), test!$J$11:$K$14, 2, FALSE)/1440,VLOOKUP($A20,test!$A$3:$F$32,4,FALSE)=VLOOKUP(T$1,test!$A$3:$F$32,3,FALSE)),1,0)</f>
        <v>0</v>
      </c>
      <c r="U20" s="3">
        <f>IF(AND(VLOOKUP(U$1,test!$A$3:$G$32,5,FALSE)-VLOOKUP($A20,test!$A$3:$G$32,6,FALSE)&gt;=VLOOKUP(VLOOKUP(U$1, test!$A$3:$G$32,3,FALSE), test!$J$11:$K$14, 2, FALSE)/1440,VLOOKUP($A20,test!$A$3:$F$32,4,FALSE)=VLOOKUP(U$1,test!$A$3:$F$32,3,FALSE)),1,0)</f>
        <v>0</v>
      </c>
      <c r="V20" s="3">
        <f>IF(AND(VLOOKUP(V$1,test!$A$3:$G$32,5,FALSE)-VLOOKUP($A20,test!$A$3:$G$32,6,FALSE)&gt;=VLOOKUP(VLOOKUP(V$1, test!$A$3:$G$32,3,FALSE), test!$J$11:$K$14, 2, FALSE)/1440,VLOOKUP($A20,test!$A$3:$F$32,4,FALSE)=VLOOKUP(V$1,test!$A$3:$F$32,3,FALSE)),1,0)</f>
        <v>0</v>
      </c>
      <c r="W20" s="3">
        <f>IF(AND(VLOOKUP(W$1,test!$A$3:$G$32,5,FALSE)-VLOOKUP($A20,test!$A$3:$G$32,6,FALSE)&gt;=VLOOKUP(VLOOKUP(W$1, test!$A$3:$G$32,3,FALSE), test!$J$11:$K$14, 2, FALSE)/1440,VLOOKUP($A20,test!$A$3:$F$32,4,FALSE)=VLOOKUP(W$1,test!$A$3:$F$32,3,FALSE)),1,0)</f>
        <v>0</v>
      </c>
      <c r="X20" s="3">
        <f>IF(AND(VLOOKUP(X$1,test!$A$3:$G$32,5,FALSE)-VLOOKUP($A20,test!$A$3:$G$32,6,FALSE)&gt;=VLOOKUP(VLOOKUP(X$1, test!$A$3:$G$32,3,FALSE), test!$J$11:$K$14, 2, FALSE)/1440,VLOOKUP($A20,test!$A$3:$F$32,4,FALSE)=VLOOKUP(X$1,test!$A$3:$F$32,3,FALSE)),1,0)</f>
        <v>0</v>
      </c>
      <c r="Y20" s="3">
        <f>IF(AND(VLOOKUP(Y$1,test!$A$3:$G$32,5,FALSE)-VLOOKUP($A20,test!$A$3:$G$32,6,FALSE)&gt;=VLOOKUP(VLOOKUP(Y$1, test!$A$3:$G$32,3,FALSE), test!$J$11:$K$14, 2, FALSE)/1440,VLOOKUP($A20,test!$A$3:$F$32,4,FALSE)=VLOOKUP(Y$1,test!$A$3:$F$32,3,FALSE)),1,0)</f>
        <v>0</v>
      </c>
      <c r="Z20" s="3">
        <f>IF(AND(VLOOKUP(Z$1,test!$A$3:$G$32,5,FALSE)-VLOOKUP($A20,test!$A$3:$G$32,6,FALSE)&gt;=VLOOKUP(VLOOKUP(Z$1, test!$A$3:$G$32,3,FALSE), test!$J$11:$K$14, 2, FALSE)/1440,VLOOKUP($A20,test!$A$3:$F$32,4,FALSE)=VLOOKUP(Z$1,test!$A$3:$F$32,3,FALSE)),1,0)</f>
        <v>0</v>
      </c>
      <c r="AA20" s="3">
        <f>IF(AND(VLOOKUP(AA$1,test!$A$3:$G$32,5,FALSE)-VLOOKUP($A20,test!$A$3:$G$32,6,FALSE)&gt;=VLOOKUP(VLOOKUP(AA$1, test!$A$3:$G$32,3,FALSE), test!$J$11:$K$14, 2, FALSE)/1440,VLOOKUP($A20,test!$A$3:$F$32,4,FALSE)=VLOOKUP(AA$1,test!$A$3:$F$32,3,FALSE)),1,0)</f>
        <v>0</v>
      </c>
      <c r="AB20" s="3">
        <f>IF(AND(VLOOKUP(AB$1,test!$A$3:$G$32,5,FALSE)-VLOOKUP($A20,test!$A$3:$G$32,6,FALSE)&gt;=VLOOKUP(VLOOKUP(AB$1, test!$A$3:$G$32,3,FALSE), test!$J$11:$K$14, 2, FALSE)/1440,VLOOKUP($A20,test!$A$3:$F$32,4,FALSE)=VLOOKUP(AB$1,test!$A$3:$F$32,3,FALSE)),1,0)</f>
        <v>0</v>
      </c>
      <c r="AC20" s="3">
        <f>IF(AND(VLOOKUP(AC$1,test!$A$3:$G$32,5,FALSE)-VLOOKUP($A20,test!$A$3:$G$32,6,FALSE)&gt;=VLOOKUP(VLOOKUP(AC$1, test!$A$3:$G$32,3,FALSE), test!$J$11:$K$14, 2, FALSE)/1440,VLOOKUP($A20,test!$A$3:$F$32,4,FALSE)=VLOOKUP(AC$1,test!$A$3:$F$32,3,FALSE)),1,0)</f>
        <v>0</v>
      </c>
      <c r="AD20" s="3">
        <f>IF(AND(VLOOKUP(AD$1,test!$A$3:$G$32,5,FALSE)-VLOOKUP($A20,test!$A$3:$G$32,6,FALSE)&gt;=VLOOKUP(VLOOKUP(AD$1, test!$A$3:$G$32,3,FALSE), test!$J$11:$K$14, 2, FALSE)/1440,VLOOKUP($A20,test!$A$3:$F$32,4,FALSE)=VLOOKUP(AD$1,test!$A$3:$F$32,3,FALSE)),1,0)</f>
        <v>0</v>
      </c>
      <c r="AE20" s="3">
        <f>IF(AND(VLOOKUP(AE$1,test!$A$3:$G$32,5,FALSE)-VLOOKUP($A20,test!$A$3:$G$32,6,FALSE)&gt;=VLOOKUP(VLOOKUP(AE$1, test!$A$3:$G$32,3,FALSE), test!$J$11:$K$14, 2, FALSE)/1440,VLOOKUP($A20,test!$A$3:$F$32,4,FALSE)=VLOOKUP(AE$1,test!$A$3:$F$32,3,FALSE)),1,0)</f>
        <v>0</v>
      </c>
      <c r="AF20" s="3">
        <f>IF(AND(VLOOKUP(AF$1,test!$A$3:$G$32,5,FALSE)-VLOOKUP($A20,test!$A$3:$G$32,6,FALSE)&gt;=VLOOKUP(VLOOKUP(AF$1, test!$A$3:$G$32,3,FALSE), test!$J$11:$K$14, 2, FALSE)/1440,VLOOKUP($A20,test!$A$3:$F$32,4,FALSE)=VLOOKUP(AF$1,test!$A$3:$F$32,3,FALSE)),1,0)</f>
        <v>0</v>
      </c>
    </row>
    <row r="21" spans="1:32" x14ac:dyDescent="0.25">
      <c r="A21" t="s">
        <v>30</v>
      </c>
      <c r="B21" s="4">
        <v>1</v>
      </c>
      <c r="C21" s="3">
        <f>IF(AND(VLOOKUP(C$1,test!$A$3:$G$32,5,FALSE)-VLOOKUP($A21,test!$A$3:$G$32,6,FALSE)&gt;=VLOOKUP(VLOOKUP(C$1, test!$A$3:$G$32,3,FALSE), test!$J$11:$K$14, 2, FALSE)/1440,VLOOKUP($A21,test!$A$3:$F$32,4,FALSE)=VLOOKUP(C$1,test!$A$3:$F$32,3,FALSE)),1,0)</f>
        <v>0</v>
      </c>
      <c r="D21" s="3">
        <f>IF(AND(VLOOKUP(D$1,test!$A$3:$G$32,5,FALSE)-VLOOKUP($A21,test!$A$3:$G$32,6,FALSE)&gt;=VLOOKUP(VLOOKUP(D$1, test!$A$3:$G$32,3,FALSE), test!$J$11:$K$14, 2, FALSE)/1440,VLOOKUP($A21,test!$A$3:$F$32,4,FALSE)=VLOOKUP(D$1,test!$A$3:$F$32,3,FALSE)),1,0)</f>
        <v>0</v>
      </c>
      <c r="E21" s="3">
        <f>IF(AND(VLOOKUP(E$1,test!$A$3:$G$32,5,FALSE)-VLOOKUP($A21,test!$A$3:$G$32,6,FALSE)&gt;=VLOOKUP(VLOOKUP(E$1, test!$A$3:$G$32,3,FALSE), test!$J$11:$K$14, 2, FALSE)/1440,VLOOKUP($A21,test!$A$3:$F$32,4,FALSE)=VLOOKUP(E$1,test!$A$3:$F$32,3,FALSE)),1,0)</f>
        <v>0</v>
      </c>
      <c r="F21" s="3">
        <f>IF(AND(VLOOKUP(F$1,test!$A$3:$G$32,5,FALSE)-VLOOKUP($A21,test!$A$3:$G$32,6,FALSE)&gt;=VLOOKUP(VLOOKUP(F$1, test!$A$3:$G$32,3,FALSE), test!$J$11:$K$14, 2, FALSE)/1440,VLOOKUP($A21,test!$A$3:$F$32,4,FALSE)=VLOOKUP(F$1,test!$A$3:$F$32,3,FALSE)),1,0)</f>
        <v>0</v>
      </c>
      <c r="G21" s="3">
        <f>IF(AND(VLOOKUP(G$1,test!$A$3:$G$32,5,FALSE)-VLOOKUP($A21,test!$A$3:$G$32,6,FALSE)&gt;=VLOOKUP(VLOOKUP(G$1, test!$A$3:$G$32,3,FALSE), test!$J$11:$K$14, 2, FALSE)/1440,VLOOKUP($A21,test!$A$3:$F$32,4,FALSE)=VLOOKUP(G$1,test!$A$3:$F$32,3,FALSE)),1,0)</f>
        <v>0</v>
      </c>
      <c r="H21" s="3">
        <f>IF(AND(VLOOKUP(H$1,test!$A$3:$G$32,5,FALSE)-VLOOKUP($A21,test!$A$3:$G$32,6,FALSE)&gt;=VLOOKUP(VLOOKUP(H$1, test!$A$3:$G$32,3,FALSE), test!$J$11:$K$14, 2, FALSE)/1440,VLOOKUP($A21,test!$A$3:$F$32,4,FALSE)=VLOOKUP(H$1,test!$A$3:$F$32,3,FALSE)),1,0)</f>
        <v>0</v>
      </c>
      <c r="I21" s="3">
        <f>IF(AND(VLOOKUP(I$1,test!$A$3:$G$32,5,FALSE)-VLOOKUP($A21,test!$A$3:$G$32,6,FALSE)&gt;=VLOOKUP(VLOOKUP(I$1, test!$A$3:$G$32,3,FALSE), test!$J$11:$K$14, 2, FALSE)/1440,VLOOKUP($A21,test!$A$3:$F$32,4,FALSE)=VLOOKUP(I$1,test!$A$3:$F$32,3,FALSE)),1,0)</f>
        <v>1</v>
      </c>
      <c r="J21" s="3">
        <f>IF(AND(VLOOKUP(J$1,test!$A$3:$G$32,5,FALSE)-VLOOKUP($A21,test!$A$3:$G$32,6,FALSE)&gt;=VLOOKUP(VLOOKUP(J$1, test!$A$3:$G$32,3,FALSE), test!$J$11:$K$14, 2, FALSE)/1440,VLOOKUP($A21,test!$A$3:$F$32,4,FALSE)=VLOOKUP(J$1,test!$A$3:$F$32,3,FALSE)),1,0)</f>
        <v>1</v>
      </c>
      <c r="K21" s="3">
        <f>IF(AND(VLOOKUP(K$1,test!$A$3:$G$32,5,FALSE)-VLOOKUP($A21,test!$A$3:$G$32,6,FALSE)&gt;=VLOOKUP(VLOOKUP(K$1, test!$A$3:$G$32,3,FALSE), test!$J$11:$K$14, 2, FALSE)/1440,VLOOKUP($A21,test!$A$3:$F$32,4,FALSE)=VLOOKUP(K$1,test!$A$3:$F$32,3,FALSE)),1,0)</f>
        <v>0</v>
      </c>
      <c r="L21" s="3">
        <f>IF(AND(VLOOKUP(L$1,test!$A$3:$G$32,5,FALSE)-VLOOKUP($A21,test!$A$3:$G$32,6,FALSE)&gt;=VLOOKUP(VLOOKUP(L$1, test!$A$3:$G$32,3,FALSE), test!$J$11:$K$14, 2, FALSE)/1440,VLOOKUP($A21,test!$A$3:$F$32,4,FALSE)=VLOOKUP(L$1,test!$A$3:$F$32,3,FALSE)),1,0)</f>
        <v>0</v>
      </c>
      <c r="M21" s="3">
        <f>IF(AND(VLOOKUP(M$1,test!$A$3:$G$32,5,FALSE)-VLOOKUP($A21,test!$A$3:$G$32,6,FALSE)&gt;=VLOOKUP(VLOOKUP(M$1, test!$A$3:$G$32,3,FALSE), test!$J$11:$K$14, 2, FALSE)/1440,VLOOKUP($A21,test!$A$3:$F$32,4,FALSE)=VLOOKUP(M$1,test!$A$3:$F$32,3,FALSE)),1,0)</f>
        <v>0</v>
      </c>
      <c r="N21" s="3">
        <f>IF(AND(VLOOKUP(N$1,test!$A$3:$G$32,5,FALSE)-VLOOKUP($A21,test!$A$3:$G$32,6,FALSE)&gt;=VLOOKUP(VLOOKUP(N$1, test!$A$3:$G$32,3,FALSE), test!$J$11:$K$14, 2, FALSE)/1440,VLOOKUP($A21,test!$A$3:$F$32,4,FALSE)=VLOOKUP(N$1,test!$A$3:$F$32,3,FALSE)),1,0)</f>
        <v>1</v>
      </c>
      <c r="O21" s="3">
        <f>IF(AND(VLOOKUP(O$1,test!$A$3:$G$32,5,FALSE)-VLOOKUP($A21,test!$A$3:$G$32,6,FALSE)&gt;=VLOOKUP(VLOOKUP(O$1, test!$A$3:$G$32,3,FALSE), test!$J$11:$K$14, 2, FALSE)/1440,VLOOKUP($A21,test!$A$3:$F$32,4,FALSE)=VLOOKUP(O$1,test!$A$3:$F$32,3,FALSE)),1,0)</f>
        <v>1</v>
      </c>
      <c r="P21" s="3">
        <f>IF(AND(VLOOKUP(P$1,test!$A$3:$G$32,5,FALSE)-VLOOKUP($A21,test!$A$3:$G$32,6,FALSE)&gt;=VLOOKUP(VLOOKUP(P$1, test!$A$3:$G$32,3,FALSE), test!$J$11:$K$14, 2, FALSE)/1440,VLOOKUP($A21,test!$A$3:$F$32,4,FALSE)=VLOOKUP(P$1,test!$A$3:$F$32,3,FALSE)),1,0)</f>
        <v>0</v>
      </c>
      <c r="Q21" s="3">
        <f>IF(AND(VLOOKUP(Q$1,test!$A$3:$G$32,5,FALSE)-VLOOKUP($A21,test!$A$3:$G$32,6,FALSE)&gt;=VLOOKUP(VLOOKUP(Q$1, test!$A$3:$G$32,3,FALSE), test!$J$11:$K$14, 2, FALSE)/1440,VLOOKUP($A21,test!$A$3:$F$32,4,FALSE)=VLOOKUP(Q$1,test!$A$3:$F$32,3,FALSE)),1,0)</f>
        <v>0</v>
      </c>
      <c r="R21" s="3">
        <f>IF(AND(VLOOKUP(R$1,test!$A$3:$G$32,5,FALSE)-VLOOKUP($A21,test!$A$3:$G$32,6,FALSE)&gt;=VLOOKUP(VLOOKUP(R$1, test!$A$3:$G$32,3,FALSE), test!$J$11:$K$14, 2, FALSE)/1440,VLOOKUP($A21,test!$A$3:$F$32,4,FALSE)=VLOOKUP(R$1,test!$A$3:$F$32,3,FALSE)),1,0)</f>
        <v>0</v>
      </c>
      <c r="S21" s="3">
        <f>IF(AND(VLOOKUP(S$1,test!$A$3:$G$32,5,FALSE)-VLOOKUP($A21,test!$A$3:$G$32,6,FALSE)&gt;=VLOOKUP(VLOOKUP(S$1, test!$A$3:$G$32,3,FALSE), test!$J$11:$K$14, 2, FALSE)/1440,VLOOKUP($A21,test!$A$3:$F$32,4,FALSE)=VLOOKUP(S$1,test!$A$3:$F$32,3,FALSE)),1,0)</f>
        <v>0</v>
      </c>
      <c r="T21" s="3">
        <f>IF(AND(VLOOKUP(T$1,test!$A$3:$G$32,5,FALSE)-VLOOKUP($A21,test!$A$3:$G$32,6,FALSE)&gt;=VLOOKUP(VLOOKUP(T$1, test!$A$3:$G$32,3,FALSE), test!$J$11:$K$14, 2, FALSE)/1440,VLOOKUP($A21,test!$A$3:$F$32,4,FALSE)=VLOOKUP(T$1,test!$A$3:$F$32,3,FALSE)),1,0)</f>
        <v>0</v>
      </c>
      <c r="U21" s="3">
        <f>IF(AND(VLOOKUP(U$1,test!$A$3:$G$32,5,FALSE)-VLOOKUP($A21,test!$A$3:$G$32,6,FALSE)&gt;=VLOOKUP(VLOOKUP(U$1, test!$A$3:$G$32,3,FALSE), test!$J$11:$K$14, 2, FALSE)/1440,VLOOKUP($A21,test!$A$3:$F$32,4,FALSE)=VLOOKUP(U$1,test!$A$3:$F$32,3,FALSE)),1,0)</f>
        <v>0</v>
      </c>
      <c r="V21" s="3">
        <f>IF(AND(VLOOKUP(V$1,test!$A$3:$G$32,5,FALSE)-VLOOKUP($A21,test!$A$3:$G$32,6,FALSE)&gt;=VLOOKUP(VLOOKUP(V$1, test!$A$3:$G$32,3,FALSE), test!$J$11:$K$14, 2, FALSE)/1440,VLOOKUP($A21,test!$A$3:$F$32,4,FALSE)=VLOOKUP(V$1,test!$A$3:$F$32,3,FALSE)),1,0)</f>
        <v>0</v>
      </c>
      <c r="W21" s="3">
        <f>IF(AND(VLOOKUP(W$1,test!$A$3:$G$32,5,FALSE)-VLOOKUP($A21,test!$A$3:$G$32,6,FALSE)&gt;=VLOOKUP(VLOOKUP(W$1, test!$A$3:$G$32,3,FALSE), test!$J$11:$K$14, 2, FALSE)/1440,VLOOKUP($A21,test!$A$3:$F$32,4,FALSE)=VLOOKUP(W$1,test!$A$3:$F$32,3,FALSE)),1,0)</f>
        <v>0</v>
      </c>
      <c r="X21" s="3">
        <f>IF(AND(VLOOKUP(X$1,test!$A$3:$G$32,5,FALSE)-VLOOKUP($A21,test!$A$3:$G$32,6,FALSE)&gt;=VLOOKUP(VLOOKUP(X$1, test!$A$3:$G$32,3,FALSE), test!$J$11:$K$14, 2, FALSE)/1440,VLOOKUP($A21,test!$A$3:$F$32,4,FALSE)=VLOOKUP(X$1,test!$A$3:$F$32,3,FALSE)),1,0)</f>
        <v>0</v>
      </c>
      <c r="Y21" s="3">
        <f>IF(AND(VLOOKUP(Y$1,test!$A$3:$G$32,5,FALSE)-VLOOKUP($A21,test!$A$3:$G$32,6,FALSE)&gt;=VLOOKUP(VLOOKUP(Y$1, test!$A$3:$G$32,3,FALSE), test!$J$11:$K$14, 2, FALSE)/1440,VLOOKUP($A21,test!$A$3:$F$32,4,FALSE)=VLOOKUP(Y$1,test!$A$3:$F$32,3,FALSE)),1,0)</f>
        <v>0</v>
      </c>
      <c r="Z21" s="3">
        <f>IF(AND(VLOOKUP(Z$1,test!$A$3:$G$32,5,FALSE)-VLOOKUP($A21,test!$A$3:$G$32,6,FALSE)&gt;=VLOOKUP(VLOOKUP(Z$1, test!$A$3:$G$32,3,FALSE), test!$J$11:$K$14, 2, FALSE)/1440,VLOOKUP($A21,test!$A$3:$F$32,4,FALSE)=VLOOKUP(Z$1,test!$A$3:$F$32,3,FALSE)),1,0)</f>
        <v>0</v>
      </c>
      <c r="AA21" s="3">
        <f>IF(AND(VLOOKUP(AA$1,test!$A$3:$G$32,5,FALSE)-VLOOKUP($A21,test!$A$3:$G$32,6,FALSE)&gt;=VLOOKUP(VLOOKUP(AA$1, test!$A$3:$G$32,3,FALSE), test!$J$11:$K$14, 2, FALSE)/1440,VLOOKUP($A21,test!$A$3:$F$32,4,FALSE)=VLOOKUP(AA$1,test!$A$3:$F$32,3,FALSE)),1,0)</f>
        <v>0</v>
      </c>
      <c r="AB21" s="3">
        <f>IF(AND(VLOOKUP(AB$1,test!$A$3:$G$32,5,FALSE)-VLOOKUP($A21,test!$A$3:$G$32,6,FALSE)&gt;=VLOOKUP(VLOOKUP(AB$1, test!$A$3:$G$32,3,FALSE), test!$J$11:$K$14, 2, FALSE)/1440,VLOOKUP($A21,test!$A$3:$F$32,4,FALSE)=VLOOKUP(AB$1,test!$A$3:$F$32,3,FALSE)),1,0)</f>
        <v>0</v>
      </c>
      <c r="AC21" s="3">
        <f>IF(AND(VLOOKUP(AC$1,test!$A$3:$G$32,5,FALSE)-VLOOKUP($A21,test!$A$3:$G$32,6,FALSE)&gt;=VLOOKUP(VLOOKUP(AC$1, test!$A$3:$G$32,3,FALSE), test!$J$11:$K$14, 2, FALSE)/1440,VLOOKUP($A21,test!$A$3:$F$32,4,FALSE)=VLOOKUP(AC$1,test!$A$3:$F$32,3,FALSE)),1,0)</f>
        <v>0</v>
      </c>
      <c r="AD21" s="3">
        <f>IF(AND(VLOOKUP(AD$1,test!$A$3:$G$32,5,FALSE)-VLOOKUP($A21,test!$A$3:$G$32,6,FALSE)&gt;=VLOOKUP(VLOOKUP(AD$1, test!$A$3:$G$32,3,FALSE), test!$J$11:$K$14, 2, FALSE)/1440,VLOOKUP($A21,test!$A$3:$F$32,4,FALSE)=VLOOKUP(AD$1,test!$A$3:$F$32,3,FALSE)),1,0)</f>
        <v>0</v>
      </c>
      <c r="AE21" s="3">
        <f>IF(AND(VLOOKUP(AE$1,test!$A$3:$G$32,5,FALSE)-VLOOKUP($A21,test!$A$3:$G$32,6,FALSE)&gt;=VLOOKUP(VLOOKUP(AE$1, test!$A$3:$G$32,3,FALSE), test!$J$11:$K$14, 2, FALSE)/1440,VLOOKUP($A21,test!$A$3:$F$32,4,FALSE)=VLOOKUP(AE$1,test!$A$3:$F$32,3,FALSE)),1,0)</f>
        <v>0</v>
      </c>
      <c r="AF21" s="3">
        <f>IF(AND(VLOOKUP(AF$1,test!$A$3:$G$32,5,FALSE)-VLOOKUP($A21,test!$A$3:$G$32,6,FALSE)&gt;=VLOOKUP(VLOOKUP(AF$1, test!$A$3:$G$32,3,FALSE), test!$J$11:$K$14, 2, FALSE)/1440,VLOOKUP($A21,test!$A$3:$F$32,4,FALSE)=VLOOKUP(AF$1,test!$A$3:$F$32,3,FALSE)),1,0)</f>
        <v>0</v>
      </c>
    </row>
    <row r="22" spans="1:32" x14ac:dyDescent="0.25">
      <c r="A22" t="s">
        <v>31</v>
      </c>
      <c r="B22" s="4">
        <v>1</v>
      </c>
      <c r="C22" s="3">
        <f>IF(AND(VLOOKUP(C$1,test!$A$3:$G$32,5,FALSE)-VLOOKUP($A22,test!$A$3:$G$32,6,FALSE)&gt;=VLOOKUP(VLOOKUP(C$1, test!$A$3:$G$32,3,FALSE), test!$J$11:$K$14, 2, FALSE)/1440,VLOOKUP($A22,test!$A$3:$F$32,4,FALSE)=VLOOKUP(C$1,test!$A$3:$F$32,3,FALSE)),1,0)</f>
        <v>0</v>
      </c>
      <c r="D22" s="3">
        <f>IF(AND(VLOOKUP(D$1,test!$A$3:$G$32,5,FALSE)-VLOOKUP($A22,test!$A$3:$G$32,6,FALSE)&gt;=VLOOKUP(VLOOKUP(D$1, test!$A$3:$G$32,3,FALSE), test!$J$11:$K$14, 2, FALSE)/1440,VLOOKUP($A22,test!$A$3:$F$32,4,FALSE)=VLOOKUP(D$1,test!$A$3:$F$32,3,FALSE)),1,0)</f>
        <v>0</v>
      </c>
      <c r="E22" s="3">
        <f>IF(AND(VLOOKUP(E$1,test!$A$3:$G$32,5,FALSE)-VLOOKUP($A22,test!$A$3:$G$32,6,FALSE)&gt;=VLOOKUP(VLOOKUP(E$1, test!$A$3:$G$32,3,FALSE), test!$J$11:$K$14, 2, FALSE)/1440,VLOOKUP($A22,test!$A$3:$F$32,4,FALSE)=VLOOKUP(E$1,test!$A$3:$F$32,3,FALSE)),1,0)</f>
        <v>0</v>
      </c>
      <c r="F22" s="3">
        <f>IF(AND(VLOOKUP(F$1,test!$A$3:$G$32,5,FALSE)-VLOOKUP($A22,test!$A$3:$G$32,6,FALSE)&gt;=VLOOKUP(VLOOKUP(F$1, test!$A$3:$G$32,3,FALSE), test!$J$11:$K$14, 2, FALSE)/1440,VLOOKUP($A22,test!$A$3:$F$32,4,FALSE)=VLOOKUP(F$1,test!$A$3:$F$32,3,FALSE)),1,0)</f>
        <v>0</v>
      </c>
      <c r="G22" s="3">
        <f>IF(AND(VLOOKUP(G$1,test!$A$3:$G$32,5,FALSE)-VLOOKUP($A22,test!$A$3:$G$32,6,FALSE)&gt;=VLOOKUP(VLOOKUP(G$1, test!$A$3:$G$32,3,FALSE), test!$J$11:$K$14, 2, FALSE)/1440,VLOOKUP($A22,test!$A$3:$F$32,4,FALSE)=VLOOKUP(G$1,test!$A$3:$F$32,3,FALSE)),1,0)</f>
        <v>0</v>
      </c>
      <c r="H22" s="3">
        <f>IF(AND(VLOOKUP(H$1,test!$A$3:$G$32,5,FALSE)-VLOOKUP($A22,test!$A$3:$G$32,6,FALSE)&gt;=VLOOKUP(VLOOKUP(H$1, test!$A$3:$G$32,3,FALSE), test!$J$11:$K$14, 2, FALSE)/1440,VLOOKUP($A22,test!$A$3:$F$32,4,FALSE)=VLOOKUP(H$1,test!$A$3:$F$32,3,FALSE)),1,0)</f>
        <v>0</v>
      </c>
      <c r="I22" s="3">
        <f>IF(AND(VLOOKUP(I$1,test!$A$3:$G$32,5,FALSE)-VLOOKUP($A22,test!$A$3:$G$32,6,FALSE)&gt;=VLOOKUP(VLOOKUP(I$1, test!$A$3:$G$32,3,FALSE), test!$J$11:$K$14, 2, FALSE)/1440,VLOOKUP($A22,test!$A$3:$F$32,4,FALSE)=VLOOKUP(I$1,test!$A$3:$F$32,3,FALSE)),1,0)</f>
        <v>0</v>
      </c>
      <c r="J22" s="3">
        <f>IF(AND(VLOOKUP(J$1,test!$A$3:$G$32,5,FALSE)-VLOOKUP($A22,test!$A$3:$G$32,6,FALSE)&gt;=VLOOKUP(VLOOKUP(J$1, test!$A$3:$G$32,3,FALSE), test!$J$11:$K$14, 2, FALSE)/1440,VLOOKUP($A22,test!$A$3:$F$32,4,FALSE)=VLOOKUP(J$1,test!$A$3:$F$32,3,FALSE)),1,0)</f>
        <v>1</v>
      </c>
      <c r="K22" s="3">
        <f>IF(AND(VLOOKUP(K$1,test!$A$3:$G$32,5,FALSE)-VLOOKUP($A22,test!$A$3:$G$32,6,FALSE)&gt;=VLOOKUP(VLOOKUP(K$1, test!$A$3:$G$32,3,FALSE), test!$J$11:$K$14, 2, FALSE)/1440,VLOOKUP($A22,test!$A$3:$F$32,4,FALSE)=VLOOKUP(K$1,test!$A$3:$F$32,3,FALSE)),1,0)</f>
        <v>0</v>
      </c>
      <c r="L22" s="3">
        <f>IF(AND(VLOOKUP(L$1,test!$A$3:$G$32,5,FALSE)-VLOOKUP($A22,test!$A$3:$G$32,6,FALSE)&gt;=VLOOKUP(VLOOKUP(L$1, test!$A$3:$G$32,3,FALSE), test!$J$11:$K$14, 2, FALSE)/1440,VLOOKUP($A22,test!$A$3:$F$32,4,FALSE)=VLOOKUP(L$1,test!$A$3:$F$32,3,FALSE)),1,0)</f>
        <v>0</v>
      </c>
      <c r="M22" s="3">
        <f>IF(AND(VLOOKUP(M$1,test!$A$3:$G$32,5,FALSE)-VLOOKUP($A22,test!$A$3:$G$32,6,FALSE)&gt;=VLOOKUP(VLOOKUP(M$1, test!$A$3:$G$32,3,FALSE), test!$J$11:$K$14, 2, FALSE)/1440,VLOOKUP($A22,test!$A$3:$F$32,4,FALSE)=VLOOKUP(M$1,test!$A$3:$F$32,3,FALSE)),1,0)</f>
        <v>0</v>
      </c>
      <c r="N22" s="3">
        <f>IF(AND(VLOOKUP(N$1,test!$A$3:$G$32,5,FALSE)-VLOOKUP($A22,test!$A$3:$G$32,6,FALSE)&gt;=VLOOKUP(VLOOKUP(N$1, test!$A$3:$G$32,3,FALSE), test!$J$11:$K$14, 2, FALSE)/1440,VLOOKUP($A22,test!$A$3:$F$32,4,FALSE)=VLOOKUP(N$1,test!$A$3:$F$32,3,FALSE)),1,0)</f>
        <v>1</v>
      </c>
      <c r="O22" s="3">
        <f>IF(AND(VLOOKUP(O$1,test!$A$3:$G$32,5,FALSE)-VLOOKUP($A22,test!$A$3:$G$32,6,FALSE)&gt;=VLOOKUP(VLOOKUP(O$1, test!$A$3:$G$32,3,FALSE), test!$J$11:$K$14, 2, FALSE)/1440,VLOOKUP($A22,test!$A$3:$F$32,4,FALSE)=VLOOKUP(O$1,test!$A$3:$F$32,3,FALSE)),1,0)</f>
        <v>1</v>
      </c>
      <c r="P22" s="3">
        <f>IF(AND(VLOOKUP(P$1,test!$A$3:$G$32,5,FALSE)-VLOOKUP($A22,test!$A$3:$G$32,6,FALSE)&gt;=VLOOKUP(VLOOKUP(P$1, test!$A$3:$G$32,3,FALSE), test!$J$11:$K$14, 2, FALSE)/1440,VLOOKUP($A22,test!$A$3:$F$32,4,FALSE)=VLOOKUP(P$1,test!$A$3:$F$32,3,FALSE)),1,0)</f>
        <v>0</v>
      </c>
      <c r="Q22" s="3">
        <f>IF(AND(VLOOKUP(Q$1,test!$A$3:$G$32,5,FALSE)-VLOOKUP($A22,test!$A$3:$G$32,6,FALSE)&gt;=VLOOKUP(VLOOKUP(Q$1, test!$A$3:$G$32,3,FALSE), test!$J$11:$K$14, 2, FALSE)/1440,VLOOKUP($A22,test!$A$3:$F$32,4,FALSE)=VLOOKUP(Q$1,test!$A$3:$F$32,3,FALSE)),1,0)</f>
        <v>0</v>
      </c>
      <c r="R22" s="3">
        <f>IF(AND(VLOOKUP(R$1,test!$A$3:$G$32,5,FALSE)-VLOOKUP($A22,test!$A$3:$G$32,6,FALSE)&gt;=VLOOKUP(VLOOKUP(R$1, test!$A$3:$G$32,3,FALSE), test!$J$11:$K$14, 2, FALSE)/1440,VLOOKUP($A22,test!$A$3:$F$32,4,FALSE)=VLOOKUP(R$1,test!$A$3:$F$32,3,FALSE)),1,0)</f>
        <v>0</v>
      </c>
      <c r="S22" s="3">
        <f>IF(AND(VLOOKUP(S$1,test!$A$3:$G$32,5,FALSE)-VLOOKUP($A22,test!$A$3:$G$32,6,FALSE)&gt;=VLOOKUP(VLOOKUP(S$1, test!$A$3:$G$32,3,FALSE), test!$J$11:$K$14, 2, FALSE)/1440,VLOOKUP($A22,test!$A$3:$F$32,4,FALSE)=VLOOKUP(S$1,test!$A$3:$F$32,3,FALSE)),1,0)</f>
        <v>0</v>
      </c>
      <c r="T22" s="3">
        <f>IF(AND(VLOOKUP(T$1,test!$A$3:$G$32,5,FALSE)-VLOOKUP($A22,test!$A$3:$G$32,6,FALSE)&gt;=VLOOKUP(VLOOKUP(T$1, test!$A$3:$G$32,3,FALSE), test!$J$11:$K$14, 2, FALSE)/1440,VLOOKUP($A22,test!$A$3:$F$32,4,FALSE)=VLOOKUP(T$1,test!$A$3:$F$32,3,FALSE)),1,0)</f>
        <v>0</v>
      </c>
      <c r="U22" s="3">
        <f>IF(AND(VLOOKUP(U$1,test!$A$3:$G$32,5,FALSE)-VLOOKUP($A22,test!$A$3:$G$32,6,FALSE)&gt;=VLOOKUP(VLOOKUP(U$1, test!$A$3:$G$32,3,FALSE), test!$J$11:$K$14, 2, FALSE)/1440,VLOOKUP($A22,test!$A$3:$F$32,4,FALSE)=VLOOKUP(U$1,test!$A$3:$F$32,3,FALSE)),1,0)</f>
        <v>0</v>
      </c>
      <c r="V22" s="3">
        <f>IF(AND(VLOOKUP(V$1,test!$A$3:$G$32,5,FALSE)-VLOOKUP($A22,test!$A$3:$G$32,6,FALSE)&gt;=VLOOKUP(VLOOKUP(V$1, test!$A$3:$G$32,3,FALSE), test!$J$11:$K$14, 2, FALSE)/1440,VLOOKUP($A22,test!$A$3:$F$32,4,FALSE)=VLOOKUP(V$1,test!$A$3:$F$32,3,FALSE)),1,0)</f>
        <v>0</v>
      </c>
      <c r="W22" s="3">
        <f>IF(AND(VLOOKUP(W$1,test!$A$3:$G$32,5,FALSE)-VLOOKUP($A22,test!$A$3:$G$32,6,FALSE)&gt;=VLOOKUP(VLOOKUP(W$1, test!$A$3:$G$32,3,FALSE), test!$J$11:$K$14, 2, FALSE)/1440,VLOOKUP($A22,test!$A$3:$F$32,4,FALSE)=VLOOKUP(W$1,test!$A$3:$F$32,3,FALSE)),1,0)</f>
        <v>0</v>
      </c>
      <c r="X22" s="3">
        <f>IF(AND(VLOOKUP(X$1,test!$A$3:$G$32,5,FALSE)-VLOOKUP($A22,test!$A$3:$G$32,6,FALSE)&gt;=VLOOKUP(VLOOKUP(X$1, test!$A$3:$G$32,3,FALSE), test!$J$11:$K$14, 2, FALSE)/1440,VLOOKUP($A22,test!$A$3:$F$32,4,FALSE)=VLOOKUP(X$1,test!$A$3:$F$32,3,FALSE)),1,0)</f>
        <v>0</v>
      </c>
      <c r="Y22" s="3">
        <f>IF(AND(VLOOKUP(Y$1,test!$A$3:$G$32,5,FALSE)-VLOOKUP($A22,test!$A$3:$G$32,6,FALSE)&gt;=VLOOKUP(VLOOKUP(Y$1, test!$A$3:$G$32,3,FALSE), test!$J$11:$K$14, 2, FALSE)/1440,VLOOKUP($A22,test!$A$3:$F$32,4,FALSE)=VLOOKUP(Y$1,test!$A$3:$F$32,3,FALSE)),1,0)</f>
        <v>0</v>
      </c>
      <c r="Z22" s="3">
        <f>IF(AND(VLOOKUP(Z$1,test!$A$3:$G$32,5,FALSE)-VLOOKUP($A22,test!$A$3:$G$32,6,FALSE)&gt;=VLOOKUP(VLOOKUP(Z$1, test!$A$3:$G$32,3,FALSE), test!$J$11:$K$14, 2, FALSE)/1440,VLOOKUP($A22,test!$A$3:$F$32,4,FALSE)=VLOOKUP(Z$1,test!$A$3:$F$32,3,FALSE)),1,0)</f>
        <v>0</v>
      </c>
      <c r="AA22" s="3">
        <f>IF(AND(VLOOKUP(AA$1,test!$A$3:$G$32,5,FALSE)-VLOOKUP($A22,test!$A$3:$G$32,6,FALSE)&gt;=VLOOKUP(VLOOKUP(AA$1, test!$A$3:$G$32,3,FALSE), test!$J$11:$K$14, 2, FALSE)/1440,VLOOKUP($A22,test!$A$3:$F$32,4,FALSE)=VLOOKUP(AA$1,test!$A$3:$F$32,3,FALSE)),1,0)</f>
        <v>0</v>
      </c>
      <c r="AB22" s="3">
        <f>IF(AND(VLOOKUP(AB$1,test!$A$3:$G$32,5,FALSE)-VLOOKUP($A22,test!$A$3:$G$32,6,FALSE)&gt;=VLOOKUP(VLOOKUP(AB$1, test!$A$3:$G$32,3,FALSE), test!$J$11:$K$14, 2, FALSE)/1440,VLOOKUP($A22,test!$A$3:$F$32,4,FALSE)=VLOOKUP(AB$1,test!$A$3:$F$32,3,FALSE)),1,0)</f>
        <v>0</v>
      </c>
      <c r="AC22" s="3">
        <f>IF(AND(VLOOKUP(AC$1,test!$A$3:$G$32,5,FALSE)-VLOOKUP($A22,test!$A$3:$G$32,6,FALSE)&gt;=VLOOKUP(VLOOKUP(AC$1, test!$A$3:$G$32,3,FALSE), test!$J$11:$K$14, 2, FALSE)/1440,VLOOKUP($A22,test!$A$3:$F$32,4,FALSE)=VLOOKUP(AC$1,test!$A$3:$F$32,3,FALSE)),1,0)</f>
        <v>0</v>
      </c>
      <c r="AD22" s="3">
        <f>IF(AND(VLOOKUP(AD$1,test!$A$3:$G$32,5,FALSE)-VLOOKUP($A22,test!$A$3:$G$32,6,FALSE)&gt;=VLOOKUP(VLOOKUP(AD$1, test!$A$3:$G$32,3,FALSE), test!$J$11:$K$14, 2, FALSE)/1440,VLOOKUP($A22,test!$A$3:$F$32,4,FALSE)=VLOOKUP(AD$1,test!$A$3:$F$32,3,FALSE)),1,0)</f>
        <v>0</v>
      </c>
      <c r="AE22" s="3">
        <f>IF(AND(VLOOKUP(AE$1,test!$A$3:$G$32,5,FALSE)-VLOOKUP($A22,test!$A$3:$G$32,6,FALSE)&gt;=VLOOKUP(VLOOKUP(AE$1, test!$A$3:$G$32,3,FALSE), test!$J$11:$K$14, 2, FALSE)/1440,VLOOKUP($A22,test!$A$3:$F$32,4,FALSE)=VLOOKUP(AE$1,test!$A$3:$F$32,3,FALSE)),1,0)</f>
        <v>0</v>
      </c>
      <c r="AF22" s="3">
        <f>IF(AND(VLOOKUP(AF$1,test!$A$3:$G$32,5,FALSE)-VLOOKUP($A22,test!$A$3:$G$32,6,FALSE)&gt;=VLOOKUP(VLOOKUP(AF$1, test!$A$3:$G$32,3,FALSE), test!$J$11:$K$14, 2, FALSE)/1440,VLOOKUP($A22,test!$A$3:$F$32,4,FALSE)=VLOOKUP(AF$1,test!$A$3:$F$32,3,FALSE)),1,0)</f>
        <v>0</v>
      </c>
    </row>
    <row r="23" spans="1:32" x14ac:dyDescent="0.25">
      <c r="A23" t="s">
        <v>32</v>
      </c>
      <c r="B23" s="4">
        <v>1</v>
      </c>
      <c r="C23" s="3">
        <f>IF(AND(VLOOKUP(C$1,test!$A$3:$G$32,5,FALSE)-VLOOKUP($A23,test!$A$3:$G$32,6,FALSE)&gt;=VLOOKUP(VLOOKUP(C$1, test!$A$3:$G$32,3,FALSE), test!$J$11:$K$14, 2, FALSE)/1440,VLOOKUP($A23,test!$A$3:$F$32,4,FALSE)=VLOOKUP(C$1,test!$A$3:$F$32,3,FALSE)),1,0)</f>
        <v>0</v>
      </c>
      <c r="D23" s="3">
        <f>IF(AND(VLOOKUP(D$1,test!$A$3:$G$32,5,FALSE)-VLOOKUP($A23,test!$A$3:$G$32,6,FALSE)&gt;=VLOOKUP(VLOOKUP(D$1, test!$A$3:$G$32,3,FALSE), test!$J$11:$K$14, 2, FALSE)/1440,VLOOKUP($A23,test!$A$3:$F$32,4,FALSE)=VLOOKUP(D$1,test!$A$3:$F$32,3,FALSE)),1,0)</f>
        <v>0</v>
      </c>
      <c r="E23" s="3">
        <f>IF(AND(VLOOKUP(E$1,test!$A$3:$G$32,5,FALSE)-VLOOKUP($A23,test!$A$3:$G$32,6,FALSE)&gt;=VLOOKUP(VLOOKUP(E$1, test!$A$3:$G$32,3,FALSE), test!$J$11:$K$14, 2, FALSE)/1440,VLOOKUP($A23,test!$A$3:$F$32,4,FALSE)=VLOOKUP(E$1,test!$A$3:$F$32,3,FALSE)),1,0)</f>
        <v>0</v>
      </c>
      <c r="F23" s="3">
        <f>IF(AND(VLOOKUP(F$1,test!$A$3:$G$32,5,FALSE)-VLOOKUP($A23,test!$A$3:$G$32,6,FALSE)&gt;=VLOOKUP(VLOOKUP(F$1, test!$A$3:$G$32,3,FALSE), test!$J$11:$K$14, 2, FALSE)/1440,VLOOKUP($A23,test!$A$3:$F$32,4,FALSE)=VLOOKUP(F$1,test!$A$3:$F$32,3,FALSE)),1,0)</f>
        <v>0</v>
      </c>
      <c r="G23" s="3">
        <f>IF(AND(VLOOKUP(G$1,test!$A$3:$G$32,5,FALSE)-VLOOKUP($A23,test!$A$3:$G$32,6,FALSE)&gt;=VLOOKUP(VLOOKUP(G$1, test!$A$3:$G$32,3,FALSE), test!$J$11:$K$14, 2, FALSE)/1440,VLOOKUP($A23,test!$A$3:$F$32,4,FALSE)=VLOOKUP(G$1,test!$A$3:$F$32,3,FALSE)),1,0)</f>
        <v>0</v>
      </c>
      <c r="H23" s="3">
        <f>IF(AND(VLOOKUP(H$1,test!$A$3:$G$32,5,FALSE)-VLOOKUP($A23,test!$A$3:$G$32,6,FALSE)&gt;=VLOOKUP(VLOOKUP(H$1, test!$A$3:$G$32,3,FALSE), test!$J$11:$K$14, 2, FALSE)/1440,VLOOKUP($A23,test!$A$3:$F$32,4,FALSE)=VLOOKUP(H$1,test!$A$3:$F$32,3,FALSE)),1,0)</f>
        <v>0</v>
      </c>
      <c r="I23" s="3">
        <f>IF(AND(VLOOKUP(I$1,test!$A$3:$G$32,5,FALSE)-VLOOKUP($A23,test!$A$3:$G$32,6,FALSE)&gt;=VLOOKUP(VLOOKUP(I$1, test!$A$3:$G$32,3,FALSE), test!$J$11:$K$14, 2, FALSE)/1440,VLOOKUP($A23,test!$A$3:$F$32,4,FALSE)=VLOOKUP(I$1,test!$A$3:$F$32,3,FALSE)),1,0)</f>
        <v>0</v>
      </c>
      <c r="J23" s="3">
        <f>IF(AND(VLOOKUP(J$1,test!$A$3:$G$32,5,FALSE)-VLOOKUP($A23,test!$A$3:$G$32,6,FALSE)&gt;=VLOOKUP(VLOOKUP(J$1, test!$A$3:$G$32,3,FALSE), test!$J$11:$K$14, 2, FALSE)/1440,VLOOKUP($A23,test!$A$3:$F$32,4,FALSE)=VLOOKUP(J$1,test!$A$3:$F$32,3,FALSE)),1,0)</f>
        <v>0</v>
      </c>
      <c r="K23" s="3">
        <f>IF(AND(VLOOKUP(K$1,test!$A$3:$G$32,5,FALSE)-VLOOKUP($A23,test!$A$3:$G$32,6,FALSE)&gt;=VLOOKUP(VLOOKUP(K$1, test!$A$3:$G$32,3,FALSE), test!$J$11:$K$14, 2, FALSE)/1440,VLOOKUP($A23,test!$A$3:$F$32,4,FALSE)=VLOOKUP(K$1,test!$A$3:$F$32,3,FALSE)),1,0)</f>
        <v>0</v>
      </c>
      <c r="L23" s="3">
        <f>IF(AND(VLOOKUP(L$1,test!$A$3:$G$32,5,FALSE)-VLOOKUP($A23,test!$A$3:$G$32,6,FALSE)&gt;=VLOOKUP(VLOOKUP(L$1, test!$A$3:$G$32,3,FALSE), test!$J$11:$K$14, 2, FALSE)/1440,VLOOKUP($A23,test!$A$3:$F$32,4,FALSE)=VLOOKUP(L$1,test!$A$3:$F$32,3,FALSE)),1,0)</f>
        <v>0</v>
      </c>
      <c r="M23" s="3">
        <f>IF(AND(VLOOKUP(M$1,test!$A$3:$G$32,5,FALSE)-VLOOKUP($A23,test!$A$3:$G$32,6,FALSE)&gt;=VLOOKUP(VLOOKUP(M$1, test!$A$3:$G$32,3,FALSE), test!$J$11:$K$14, 2, FALSE)/1440,VLOOKUP($A23,test!$A$3:$F$32,4,FALSE)=VLOOKUP(M$1,test!$A$3:$F$32,3,FALSE)),1,0)</f>
        <v>0</v>
      </c>
      <c r="N23" s="3">
        <f>IF(AND(VLOOKUP(N$1,test!$A$3:$G$32,5,FALSE)-VLOOKUP($A23,test!$A$3:$G$32,6,FALSE)&gt;=VLOOKUP(VLOOKUP(N$1, test!$A$3:$G$32,3,FALSE), test!$J$11:$K$14, 2, FALSE)/1440,VLOOKUP($A23,test!$A$3:$F$32,4,FALSE)=VLOOKUP(N$1,test!$A$3:$F$32,3,FALSE)),1,0)</f>
        <v>0</v>
      </c>
      <c r="O23" s="3">
        <f>IF(AND(VLOOKUP(O$1,test!$A$3:$G$32,5,FALSE)-VLOOKUP($A23,test!$A$3:$G$32,6,FALSE)&gt;=VLOOKUP(VLOOKUP(O$1, test!$A$3:$G$32,3,FALSE), test!$J$11:$K$14, 2, FALSE)/1440,VLOOKUP($A23,test!$A$3:$F$32,4,FALSE)=VLOOKUP(O$1,test!$A$3:$F$32,3,FALSE)),1,0)</f>
        <v>0</v>
      </c>
      <c r="P23" s="3">
        <f>IF(AND(VLOOKUP(P$1,test!$A$3:$G$32,5,FALSE)-VLOOKUP($A23,test!$A$3:$G$32,6,FALSE)&gt;=VLOOKUP(VLOOKUP(P$1, test!$A$3:$G$32,3,FALSE), test!$J$11:$K$14, 2, FALSE)/1440,VLOOKUP($A23,test!$A$3:$F$32,4,FALSE)=VLOOKUP(P$1,test!$A$3:$F$32,3,FALSE)),1,0)</f>
        <v>0</v>
      </c>
      <c r="Q23" s="3">
        <f>IF(AND(VLOOKUP(Q$1,test!$A$3:$G$32,5,FALSE)-VLOOKUP($A23,test!$A$3:$G$32,6,FALSE)&gt;=VLOOKUP(VLOOKUP(Q$1, test!$A$3:$G$32,3,FALSE), test!$J$11:$K$14, 2, FALSE)/1440,VLOOKUP($A23,test!$A$3:$F$32,4,FALSE)=VLOOKUP(Q$1,test!$A$3:$F$32,3,FALSE)),1,0)</f>
        <v>0</v>
      </c>
      <c r="R23" s="3">
        <f>IF(AND(VLOOKUP(R$1,test!$A$3:$G$32,5,FALSE)-VLOOKUP($A23,test!$A$3:$G$32,6,FALSE)&gt;=VLOOKUP(VLOOKUP(R$1, test!$A$3:$G$32,3,FALSE), test!$J$11:$K$14, 2, FALSE)/1440,VLOOKUP($A23,test!$A$3:$F$32,4,FALSE)=VLOOKUP(R$1,test!$A$3:$F$32,3,FALSE)),1,0)</f>
        <v>0</v>
      </c>
      <c r="S23" s="3">
        <f>IF(AND(VLOOKUP(S$1,test!$A$3:$G$32,5,FALSE)-VLOOKUP($A23,test!$A$3:$G$32,6,FALSE)&gt;=VLOOKUP(VLOOKUP(S$1, test!$A$3:$G$32,3,FALSE), test!$J$11:$K$14, 2, FALSE)/1440,VLOOKUP($A23,test!$A$3:$F$32,4,FALSE)=VLOOKUP(S$1,test!$A$3:$F$32,3,FALSE)),1,0)</f>
        <v>0</v>
      </c>
      <c r="T23" s="3">
        <f>IF(AND(VLOOKUP(T$1,test!$A$3:$G$32,5,FALSE)-VLOOKUP($A23,test!$A$3:$G$32,6,FALSE)&gt;=VLOOKUP(VLOOKUP(T$1, test!$A$3:$G$32,3,FALSE), test!$J$11:$K$14, 2, FALSE)/1440,VLOOKUP($A23,test!$A$3:$F$32,4,FALSE)=VLOOKUP(T$1,test!$A$3:$F$32,3,FALSE)),1,0)</f>
        <v>0</v>
      </c>
      <c r="U23" s="3">
        <f>IF(AND(VLOOKUP(U$1,test!$A$3:$G$32,5,FALSE)-VLOOKUP($A23,test!$A$3:$G$32,6,FALSE)&gt;=VLOOKUP(VLOOKUP(U$1, test!$A$3:$G$32,3,FALSE), test!$J$11:$K$14, 2, FALSE)/1440,VLOOKUP($A23,test!$A$3:$F$32,4,FALSE)=VLOOKUP(U$1,test!$A$3:$F$32,3,FALSE)),1,0)</f>
        <v>0</v>
      </c>
      <c r="V23" s="3">
        <f>IF(AND(VLOOKUP(V$1,test!$A$3:$G$32,5,FALSE)-VLOOKUP($A23,test!$A$3:$G$32,6,FALSE)&gt;=VLOOKUP(VLOOKUP(V$1, test!$A$3:$G$32,3,FALSE), test!$J$11:$K$14, 2, FALSE)/1440,VLOOKUP($A23,test!$A$3:$F$32,4,FALSE)=VLOOKUP(V$1,test!$A$3:$F$32,3,FALSE)),1,0)</f>
        <v>0</v>
      </c>
      <c r="W23" s="3">
        <f>IF(AND(VLOOKUP(W$1,test!$A$3:$G$32,5,FALSE)-VLOOKUP($A23,test!$A$3:$G$32,6,FALSE)&gt;=VLOOKUP(VLOOKUP(W$1, test!$A$3:$G$32,3,FALSE), test!$J$11:$K$14, 2, FALSE)/1440,VLOOKUP($A23,test!$A$3:$F$32,4,FALSE)=VLOOKUP(W$1,test!$A$3:$F$32,3,FALSE)),1,0)</f>
        <v>0</v>
      </c>
      <c r="X23" s="3">
        <f>IF(AND(VLOOKUP(X$1,test!$A$3:$G$32,5,FALSE)-VLOOKUP($A23,test!$A$3:$G$32,6,FALSE)&gt;=VLOOKUP(VLOOKUP(X$1, test!$A$3:$G$32,3,FALSE), test!$J$11:$K$14, 2, FALSE)/1440,VLOOKUP($A23,test!$A$3:$F$32,4,FALSE)=VLOOKUP(X$1,test!$A$3:$F$32,3,FALSE)),1,0)</f>
        <v>0</v>
      </c>
      <c r="Y23" s="3">
        <f>IF(AND(VLOOKUP(Y$1,test!$A$3:$G$32,5,FALSE)-VLOOKUP($A23,test!$A$3:$G$32,6,FALSE)&gt;=VLOOKUP(VLOOKUP(Y$1, test!$A$3:$G$32,3,FALSE), test!$J$11:$K$14, 2, FALSE)/1440,VLOOKUP($A23,test!$A$3:$F$32,4,FALSE)=VLOOKUP(Y$1,test!$A$3:$F$32,3,FALSE)),1,0)</f>
        <v>0</v>
      </c>
      <c r="Z23" s="3">
        <f>IF(AND(VLOOKUP(Z$1,test!$A$3:$G$32,5,FALSE)-VLOOKUP($A23,test!$A$3:$G$32,6,FALSE)&gt;=VLOOKUP(VLOOKUP(Z$1, test!$A$3:$G$32,3,FALSE), test!$J$11:$K$14, 2, FALSE)/1440,VLOOKUP($A23,test!$A$3:$F$32,4,FALSE)=VLOOKUP(Z$1,test!$A$3:$F$32,3,FALSE)),1,0)</f>
        <v>0</v>
      </c>
      <c r="AA23" s="3">
        <f>IF(AND(VLOOKUP(AA$1,test!$A$3:$G$32,5,FALSE)-VLOOKUP($A23,test!$A$3:$G$32,6,FALSE)&gt;=VLOOKUP(VLOOKUP(AA$1, test!$A$3:$G$32,3,FALSE), test!$J$11:$K$14, 2, FALSE)/1440,VLOOKUP($A23,test!$A$3:$F$32,4,FALSE)=VLOOKUP(AA$1,test!$A$3:$F$32,3,FALSE)),1,0)</f>
        <v>0</v>
      </c>
      <c r="AB23" s="3">
        <f>IF(AND(VLOOKUP(AB$1,test!$A$3:$G$32,5,FALSE)-VLOOKUP($A23,test!$A$3:$G$32,6,FALSE)&gt;=VLOOKUP(VLOOKUP(AB$1, test!$A$3:$G$32,3,FALSE), test!$J$11:$K$14, 2, FALSE)/1440,VLOOKUP($A23,test!$A$3:$F$32,4,FALSE)=VLOOKUP(AB$1,test!$A$3:$F$32,3,FALSE)),1,0)</f>
        <v>0</v>
      </c>
      <c r="AC23" s="3">
        <f>IF(AND(VLOOKUP(AC$1,test!$A$3:$G$32,5,FALSE)-VLOOKUP($A23,test!$A$3:$G$32,6,FALSE)&gt;=VLOOKUP(VLOOKUP(AC$1, test!$A$3:$G$32,3,FALSE), test!$J$11:$K$14, 2, FALSE)/1440,VLOOKUP($A23,test!$A$3:$F$32,4,FALSE)=VLOOKUP(AC$1,test!$A$3:$F$32,3,FALSE)),1,0)</f>
        <v>0</v>
      </c>
      <c r="AD23" s="3">
        <f>IF(AND(VLOOKUP(AD$1,test!$A$3:$G$32,5,FALSE)-VLOOKUP($A23,test!$A$3:$G$32,6,FALSE)&gt;=VLOOKUP(VLOOKUP(AD$1, test!$A$3:$G$32,3,FALSE), test!$J$11:$K$14, 2, FALSE)/1440,VLOOKUP($A23,test!$A$3:$F$32,4,FALSE)=VLOOKUP(AD$1,test!$A$3:$F$32,3,FALSE)),1,0)</f>
        <v>0</v>
      </c>
      <c r="AE23" s="3">
        <f>IF(AND(VLOOKUP(AE$1,test!$A$3:$G$32,5,FALSE)-VLOOKUP($A23,test!$A$3:$G$32,6,FALSE)&gt;=VLOOKUP(VLOOKUP(AE$1, test!$A$3:$G$32,3,FALSE), test!$J$11:$K$14, 2, FALSE)/1440,VLOOKUP($A23,test!$A$3:$F$32,4,FALSE)=VLOOKUP(AE$1,test!$A$3:$F$32,3,FALSE)),1,0)</f>
        <v>0</v>
      </c>
      <c r="AF23" s="3">
        <f>IF(AND(VLOOKUP(AF$1,test!$A$3:$G$32,5,FALSE)-VLOOKUP($A23,test!$A$3:$G$32,6,FALSE)&gt;=VLOOKUP(VLOOKUP(AF$1, test!$A$3:$G$32,3,FALSE), test!$J$11:$K$14, 2, FALSE)/1440,VLOOKUP($A23,test!$A$3:$F$32,4,FALSE)=VLOOKUP(AF$1,test!$A$3:$F$32,3,FALSE)),1,0)</f>
        <v>0</v>
      </c>
    </row>
    <row r="24" spans="1:32" x14ac:dyDescent="0.25">
      <c r="A24" t="s">
        <v>33</v>
      </c>
      <c r="B24" s="4">
        <v>1</v>
      </c>
      <c r="C24" s="3">
        <f>IF(AND(VLOOKUP(C$1,test!$A$3:$G$32,5,FALSE)-VLOOKUP($A24,test!$A$3:$G$32,6,FALSE)&gt;=VLOOKUP(VLOOKUP(C$1, test!$A$3:$G$32,3,FALSE), test!$J$11:$K$14, 2, FALSE)/1440,VLOOKUP($A24,test!$A$3:$F$32,4,FALSE)=VLOOKUP(C$1,test!$A$3:$F$32,3,FALSE)),1,0)</f>
        <v>0</v>
      </c>
      <c r="D24" s="3">
        <f>IF(AND(VLOOKUP(D$1,test!$A$3:$G$32,5,FALSE)-VLOOKUP($A24,test!$A$3:$G$32,6,FALSE)&gt;=VLOOKUP(VLOOKUP(D$1, test!$A$3:$G$32,3,FALSE), test!$J$11:$K$14, 2, FALSE)/1440,VLOOKUP($A24,test!$A$3:$F$32,4,FALSE)=VLOOKUP(D$1,test!$A$3:$F$32,3,FALSE)),1,0)</f>
        <v>0</v>
      </c>
      <c r="E24" s="3">
        <f>IF(AND(VLOOKUP(E$1,test!$A$3:$G$32,5,FALSE)-VLOOKUP($A24,test!$A$3:$G$32,6,FALSE)&gt;=VLOOKUP(VLOOKUP(E$1, test!$A$3:$G$32,3,FALSE), test!$J$11:$K$14, 2, FALSE)/1440,VLOOKUP($A24,test!$A$3:$F$32,4,FALSE)=VLOOKUP(E$1,test!$A$3:$F$32,3,FALSE)),1,0)</f>
        <v>0</v>
      </c>
      <c r="F24" s="3">
        <f>IF(AND(VLOOKUP(F$1,test!$A$3:$G$32,5,FALSE)-VLOOKUP($A24,test!$A$3:$G$32,6,FALSE)&gt;=VLOOKUP(VLOOKUP(F$1, test!$A$3:$G$32,3,FALSE), test!$J$11:$K$14, 2, FALSE)/1440,VLOOKUP($A24,test!$A$3:$F$32,4,FALSE)=VLOOKUP(F$1,test!$A$3:$F$32,3,FALSE)),1,0)</f>
        <v>0</v>
      </c>
      <c r="G24" s="3">
        <f>IF(AND(VLOOKUP(G$1,test!$A$3:$G$32,5,FALSE)-VLOOKUP($A24,test!$A$3:$G$32,6,FALSE)&gt;=VLOOKUP(VLOOKUP(G$1, test!$A$3:$G$32,3,FALSE), test!$J$11:$K$14, 2, FALSE)/1440,VLOOKUP($A24,test!$A$3:$F$32,4,FALSE)=VLOOKUP(G$1,test!$A$3:$F$32,3,FALSE)),1,0)</f>
        <v>0</v>
      </c>
      <c r="H24" s="3">
        <f>IF(AND(VLOOKUP(H$1,test!$A$3:$G$32,5,FALSE)-VLOOKUP($A24,test!$A$3:$G$32,6,FALSE)&gt;=VLOOKUP(VLOOKUP(H$1, test!$A$3:$G$32,3,FALSE), test!$J$11:$K$14, 2, FALSE)/1440,VLOOKUP($A24,test!$A$3:$F$32,4,FALSE)=VLOOKUP(H$1,test!$A$3:$F$32,3,FALSE)),1,0)</f>
        <v>0</v>
      </c>
      <c r="I24" s="3">
        <f>IF(AND(VLOOKUP(I$1,test!$A$3:$G$32,5,FALSE)-VLOOKUP($A24,test!$A$3:$G$32,6,FALSE)&gt;=VLOOKUP(VLOOKUP(I$1, test!$A$3:$G$32,3,FALSE), test!$J$11:$K$14, 2, FALSE)/1440,VLOOKUP($A24,test!$A$3:$F$32,4,FALSE)=VLOOKUP(I$1,test!$A$3:$F$32,3,FALSE)),1,0)</f>
        <v>0</v>
      </c>
      <c r="J24" s="3">
        <f>IF(AND(VLOOKUP(J$1,test!$A$3:$G$32,5,FALSE)-VLOOKUP($A24,test!$A$3:$G$32,6,FALSE)&gt;=VLOOKUP(VLOOKUP(J$1, test!$A$3:$G$32,3,FALSE), test!$J$11:$K$14, 2, FALSE)/1440,VLOOKUP($A24,test!$A$3:$F$32,4,FALSE)=VLOOKUP(J$1,test!$A$3:$F$32,3,FALSE)),1,0)</f>
        <v>0</v>
      </c>
      <c r="K24" s="3">
        <f>IF(AND(VLOOKUP(K$1,test!$A$3:$G$32,5,FALSE)-VLOOKUP($A24,test!$A$3:$G$32,6,FALSE)&gt;=VLOOKUP(VLOOKUP(K$1, test!$A$3:$G$32,3,FALSE), test!$J$11:$K$14, 2, FALSE)/1440,VLOOKUP($A24,test!$A$3:$F$32,4,FALSE)=VLOOKUP(K$1,test!$A$3:$F$32,3,FALSE)),1,0)</f>
        <v>0</v>
      </c>
      <c r="L24" s="3">
        <f>IF(AND(VLOOKUP(L$1,test!$A$3:$G$32,5,FALSE)-VLOOKUP($A24,test!$A$3:$G$32,6,FALSE)&gt;=VLOOKUP(VLOOKUP(L$1, test!$A$3:$G$32,3,FALSE), test!$J$11:$K$14, 2, FALSE)/1440,VLOOKUP($A24,test!$A$3:$F$32,4,FALSE)=VLOOKUP(L$1,test!$A$3:$F$32,3,FALSE)),1,0)</f>
        <v>0</v>
      </c>
      <c r="M24" s="3">
        <f>IF(AND(VLOOKUP(M$1,test!$A$3:$G$32,5,FALSE)-VLOOKUP($A24,test!$A$3:$G$32,6,FALSE)&gt;=VLOOKUP(VLOOKUP(M$1, test!$A$3:$G$32,3,FALSE), test!$J$11:$K$14, 2, FALSE)/1440,VLOOKUP($A24,test!$A$3:$F$32,4,FALSE)=VLOOKUP(M$1,test!$A$3:$F$32,3,FALSE)),1,0)</f>
        <v>0</v>
      </c>
      <c r="N24" s="3">
        <f>IF(AND(VLOOKUP(N$1,test!$A$3:$G$32,5,FALSE)-VLOOKUP($A24,test!$A$3:$G$32,6,FALSE)&gt;=VLOOKUP(VLOOKUP(N$1, test!$A$3:$G$32,3,FALSE), test!$J$11:$K$14, 2, FALSE)/1440,VLOOKUP($A24,test!$A$3:$F$32,4,FALSE)=VLOOKUP(N$1,test!$A$3:$F$32,3,FALSE)),1,0)</f>
        <v>0</v>
      </c>
      <c r="O24" s="3">
        <f>IF(AND(VLOOKUP(O$1,test!$A$3:$G$32,5,FALSE)-VLOOKUP($A24,test!$A$3:$G$32,6,FALSE)&gt;=VLOOKUP(VLOOKUP(O$1, test!$A$3:$G$32,3,FALSE), test!$J$11:$K$14, 2, FALSE)/1440,VLOOKUP($A24,test!$A$3:$F$32,4,FALSE)=VLOOKUP(O$1,test!$A$3:$F$32,3,FALSE)),1,0)</f>
        <v>0</v>
      </c>
      <c r="P24" s="3">
        <f>IF(AND(VLOOKUP(P$1,test!$A$3:$G$32,5,FALSE)-VLOOKUP($A24,test!$A$3:$G$32,6,FALSE)&gt;=VLOOKUP(VLOOKUP(P$1, test!$A$3:$G$32,3,FALSE), test!$J$11:$K$14, 2, FALSE)/1440,VLOOKUP($A24,test!$A$3:$F$32,4,FALSE)=VLOOKUP(P$1,test!$A$3:$F$32,3,FALSE)),1,0)</f>
        <v>0</v>
      </c>
      <c r="Q24" s="3">
        <f>IF(AND(VLOOKUP(Q$1,test!$A$3:$G$32,5,FALSE)-VLOOKUP($A24,test!$A$3:$G$32,6,FALSE)&gt;=VLOOKUP(VLOOKUP(Q$1, test!$A$3:$G$32,3,FALSE), test!$J$11:$K$14, 2, FALSE)/1440,VLOOKUP($A24,test!$A$3:$F$32,4,FALSE)=VLOOKUP(Q$1,test!$A$3:$F$32,3,FALSE)),1,0)</f>
        <v>0</v>
      </c>
      <c r="R24" s="3">
        <f>IF(AND(VLOOKUP(R$1,test!$A$3:$G$32,5,FALSE)-VLOOKUP($A24,test!$A$3:$G$32,6,FALSE)&gt;=VLOOKUP(VLOOKUP(R$1, test!$A$3:$G$32,3,FALSE), test!$J$11:$K$14, 2, FALSE)/1440,VLOOKUP($A24,test!$A$3:$F$32,4,FALSE)=VLOOKUP(R$1,test!$A$3:$F$32,3,FALSE)),1,0)</f>
        <v>0</v>
      </c>
      <c r="S24" s="3">
        <f>IF(AND(VLOOKUP(S$1,test!$A$3:$G$32,5,FALSE)-VLOOKUP($A24,test!$A$3:$G$32,6,FALSE)&gt;=VLOOKUP(VLOOKUP(S$1, test!$A$3:$G$32,3,FALSE), test!$J$11:$K$14, 2, FALSE)/1440,VLOOKUP($A24,test!$A$3:$F$32,4,FALSE)=VLOOKUP(S$1,test!$A$3:$F$32,3,FALSE)),1,0)</f>
        <v>0</v>
      </c>
      <c r="T24" s="3">
        <f>IF(AND(VLOOKUP(T$1,test!$A$3:$G$32,5,FALSE)-VLOOKUP($A24,test!$A$3:$G$32,6,FALSE)&gt;=VLOOKUP(VLOOKUP(T$1, test!$A$3:$G$32,3,FALSE), test!$J$11:$K$14, 2, FALSE)/1440,VLOOKUP($A24,test!$A$3:$F$32,4,FALSE)=VLOOKUP(T$1,test!$A$3:$F$32,3,FALSE)),1,0)</f>
        <v>0</v>
      </c>
      <c r="U24" s="3">
        <f>IF(AND(VLOOKUP(U$1,test!$A$3:$G$32,5,FALSE)-VLOOKUP($A24,test!$A$3:$G$32,6,FALSE)&gt;=VLOOKUP(VLOOKUP(U$1, test!$A$3:$G$32,3,FALSE), test!$J$11:$K$14, 2, FALSE)/1440,VLOOKUP($A24,test!$A$3:$F$32,4,FALSE)=VLOOKUP(U$1,test!$A$3:$F$32,3,FALSE)),1,0)</f>
        <v>0</v>
      </c>
      <c r="V24" s="3">
        <f>IF(AND(VLOOKUP(V$1,test!$A$3:$G$32,5,FALSE)-VLOOKUP($A24,test!$A$3:$G$32,6,FALSE)&gt;=VLOOKUP(VLOOKUP(V$1, test!$A$3:$G$32,3,FALSE), test!$J$11:$K$14, 2, FALSE)/1440,VLOOKUP($A24,test!$A$3:$F$32,4,FALSE)=VLOOKUP(V$1,test!$A$3:$F$32,3,FALSE)),1,0)</f>
        <v>0</v>
      </c>
      <c r="W24" s="3">
        <f>IF(AND(VLOOKUP(W$1,test!$A$3:$G$32,5,FALSE)-VLOOKUP($A24,test!$A$3:$G$32,6,FALSE)&gt;=VLOOKUP(VLOOKUP(W$1, test!$A$3:$G$32,3,FALSE), test!$J$11:$K$14, 2, FALSE)/1440,VLOOKUP($A24,test!$A$3:$F$32,4,FALSE)=VLOOKUP(W$1,test!$A$3:$F$32,3,FALSE)),1,0)</f>
        <v>0</v>
      </c>
      <c r="X24" s="3">
        <f>IF(AND(VLOOKUP(X$1,test!$A$3:$G$32,5,FALSE)-VLOOKUP($A24,test!$A$3:$G$32,6,FALSE)&gt;=VLOOKUP(VLOOKUP(X$1, test!$A$3:$G$32,3,FALSE), test!$J$11:$K$14, 2, FALSE)/1440,VLOOKUP($A24,test!$A$3:$F$32,4,FALSE)=VLOOKUP(X$1,test!$A$3:$F$32,3,FALSE)),1,0)</f>
        <v>0</v>
      </c>
      <c r="Y24" s="3">
        <f>IF(AND(VLOOKUP(Y$1,test!$A$3:$G$32,5,FALSE)-VLOOKUP($A24,test!$A$3:$G$32,6,FALSE)&gt;=VLOOKUP(VLOOKUP(Y$1, test!$A$3:$G$32,3,FALSE), test!$J$11:$K$14, 2, FALSE)/1440,VLOOKUP($A24,test!$A$3:$F$32,4,FALSE)=VLOOKUP(Y$1,test!$A$3:$F$32,3,FALSE)),1,0)</f>
        <v>0</v>
      </c>
      <c r="Z24" s="3">
        <f>IF(AND(VLOOKUP(Z$1,test!$A$3:$G$32,5,FALSE)-VLOOKUP($A24,test!$A$3:$G$32,6,FALSE)&gt;=VLOOKUP(VLOOKUP(Z$1, test!$A$3:$G$32,3,FALSE), test!$J$11:$K$14, 2, FALSE)/1440,VLOOKUP($A24,test!$A$3:$F$32,4,FALSE)=VLOOKUP(Z$1,test!$A$3:$F$32,3,FALSE)),1,0)</f>
        <v>0</v>
      </c>
      <c r="AA24" s="3">
        <f>IF(AND(VLOOKUP(AA$1,test!$A$3:$G$32,5,FALSE)-VLOOKUP($A24,test!$A$3:$G$32,6,FALSE)&gt;=VLOOKUP(VLOOKUP(AA$1, test!$A$3:$G$32,3,FALSE), test!$J$11:$K$14, 2, FALSE)/1440,VLOOKUP($A24,test!$A$3:$F$32,4,FALSE)=VLOOKUP(AA$1,test!$A$3:$F$32,3,FALSE)),1,0)</f>
        <v>0</v>
      </c>
      <c r="AB24" s="3">
        <f>IF(AND(VLOOKUP(AB$1,test!$A$3:$G$32,5,FALSE)-VLOOKUP($A24,test!$A$3:$G$32,6,FALSE)&gt;=VLOOKUP(VLOOKUP(AB$1, test!$A$3:$G$32,3,FALSE), test!$J$11:$K$14, 2, FALSE)/1440,VLOOKUP($A24,test!$A$3:$F$32,4,FALSE)=VLOOKUP(AB$1,test!$A$3:$F$32,3,FALSE)),1,0)</f>
        <v>0</v>
      </c>
      <c r="AC24" s="3">
        <f>IF(AND(VLOOKUP(AC$1,test!$A$3:$G$32,5,FALSE)-VLOOKUP($A24,test!$A$3:$G$32,6,FALSE)&gt;=VLOOKUP(VLOOKUP(AC$1, test!$A$3:$G$32,3,FALSE), test!$J$11:$K$14, 2, FALSE)/1440,VLOOKUP($A24,test!$A$3:$F$32,4,FALSE)=VLOOKUP(AC$1,test!$A$3:$F$32,3,FALSE)),1,0)</f>
        <v>0</v>
      </c>
      <c r="AD24" s="3">
        <f>IF(AND(VLOOKUP(AD$1,test!$A$3:$G$32,5,FALSE)-VLOOKUP($A24,test!$A$3:$G$32,6,FALSE)&gt;=VLOOKUP(VLOOKUP(AD$1, test!$A$3:$G$32,3,FALSE), test!$J$11:$K$14, 2, FALSE)/1440,VLOOKUP($A24,test!$A$3:$F$32,4,FALSE)=VLOOKUP(AD$1,test!$A$3:$F$32,3,FALSE)),1,0)</f>
        <v>0</v>
      </c>
      <c r="AE24" s="3">
        <f>IF(AND(VLOOKUP(AE$1,test!$A$3:$G$32,5,FALSE)-VLOOKUP($A24,test!$A$3:$G$32,6,FALSE)&gt;=VLOOKUP(VLOOKUP(AE$1, test!$A$3:$G$32,3,FALSE), test!$J$11:$K$14, 2, FALSE)/1440,VLOOKUP($A24,test!$A$3:$F$32,4,FALSE)=VLOOKUP(AE$1,test!$A$3:$F$32,3,FALSE)),1,0)</f>
        <v>0</v>
      </c>
      <c r="AF24" s="3">
        <f>IF(AND(VLOOKUP(AF$1,test!$A$3:$G$32,5,FALSE)-VLOOKUP($A24,test!$A$3:$G$32,6,FALSE)&gt;=VLOOKUP(VLOOKUP(AF$1, test!$A$3:$G$32,3,FALSE), test!$J$11:$K$14, 2, FALSE)/1440,VLOOKUP($A24,test!$A$3:$F$32,4,FALSE)=VLOOKUP(AF$1,test!$A$3:$F$32,3,FALSE)),1,0)</f>
        <v>0</v>
      </c>
    </row>
    <row r="25" spans="1:32" x14ac:dyDescent="0.25">
      <c r="A25" t="s">
        <v>34</v>
      </c>
      <c r="B25" s="4">
        <v>1</v>
      </c>
      <c r="C25" s="3">
        <f>IF(AND(VLOOKUP(C$1,test!$A$3:$G$32,5,FALSE)-VLOOKUP($A25,test!$A$3:$G$32,6,FALSE)&gt;=VLOOKUP(VLOOKUP(C$1, test!$A$3:$G$32,3,FALSE), test!$J$11:$K$14, 2, FALSE)/1440,VLOOKUP($A25,test!$A$3:$F$32,4,FALSE)=VLOOKUP(C$1,test!$A$3:$F$32,3,FALSE)),1,0)</f>
        <v>0</v>
      </c>
      <c r="D25" s="3">
        <f>IF(AND(VLOOKUP(D$1,test!$A$3:$G$32,5,FALSE)-VLOOKUP($A25,test!$A$3:$G$32,6,FALSE)&gt;=VLOOKUP(VLOOKUP(D$1, test!$A$3:$G$32,3,FALSE), test!$J$11:$K$14, 2, FALSE)/1440,VLOOKUP($A25,test!$A$3:$F$32,4,FALSE)=VLOOKUP(D$1,test!$A$3:$F$32,3,FALSE)),1,0)</f>
        <v>1</v>
      </c>
      <c r="E25" s="3">
        <f>IF(AND(VLOOKUP(E$1,test!$A$3:$G$32,5,FALSE)-VLOOKUP($A25,test!$A$3:$G$32,6,FALSE)&gt;=VLOOKUP(VLOOKUP(E$1, test!$A$3:$G$32,3,FALSE), test!$J$11:$K$14, 2, FALSE)/1440,VLOOKUP($A25,test!$A$3:$F$32,4,FALSE)=VLOOKUP(E$1,test!$A$3:$F$32,3,FALSE)),1,0)</f>
        <v>1</v>
      </c>
      <c r="F25" s="3">
        <f>IF(AND(VLOOKUP(F$1,test!$A$3:$G$32,5,FALSE)-VLOOKUP($A25,test!$A$3:$G$32,6,FALSE)&gt;=VLOOKUP(VLOOKUP(F$1, test!$A$3:$G$32,3,FALSE), test!$J$11:$K$14, 2, FALSE)/1440,VLOOKUP($A25,test!$A$3:$F$32,4,FALSE)=VLOOKUP(F$1,test!$A$3:$F$32,3,FALSE)),1,0)</f>
        <v>1</v>
      </c>
      <c r="G25" s="3">
        <f>IF(AND(VLOOKUP(G$1,test!$A$3:$G$32,5,FALSE)-VLOOKUP($A25,test!$A$3:$G$32,6,FALSE)&gt;=VLOOKUP(VLOOKUP(G$1, test!$A$3:$G$32,3,FALSE), test!$J$11:$K$14, 2, FALSE)/1440,VLOOKUP($A25,test!$A$3:$F$32,4,FALSE)=VLOOKUP(G$1,test!$A$3:$F$32,3,FALSE)),1,0)</f>
        <v>1</v>
      </c>
      <c r="H25" s="3">
        <f>IF(AND(VLOOKUP(H$1,test!$A$3:$G$32,5,FALSE)-VLOOKUP($A25,test!$A$3:$G$32,6,FALSE)&gt;=VLOOKUP(VLOOKUP(H$1, test!$A$3:$G$32,3,FALSE), test!$J$11:$K$14, 2, FALSE)/1440,VLOOKUP($A25,test!$A$3:$F$32,4,FALSE)=VLOOKUP(H$1,test!$A$3:$F$32,3,FALSE)),1,0)</f>
        <v>1</v>
      </c>
      <c r="I25" s="3">
        <f>IF(AND(VLOOKUP(I$1,test!$A$3:$G$32,5,FALSE)-VLOOKUP($A25,test!$A$3:$G$32,6,FALSE)&gt;=VLOOKUP(VLOOKUP(I$1, test!$A$3:$G$32,3,FALSE), test!$J$11:$K$14, 2, FALSE)/1440,VLOOKUP($A25,test!$A$3:$F$32,4,FALSE)=VLOOKUP(I$1,test!$A$3:$F$32,3,FALSE)),1,0)</f>
        <v>1</v>
      </c>
      <c r="J25" s="3">
        <f>IF(AND(VLOOKUP(J$1,test!$A$3:$G$32,5,FALSE)-VLOOKUP($A25,test!$A$3:$G$32,6,FALSE)&gt;=VLOOKUP(VLOOKUP(J$1, test!$A$3:$G$32,3,FALSE), test!$J$11:$K$14, 2, FALSE)/1440,VLOOKUP($A25,test!$A$3:$F$32,4,FALSE)=VLOOKUP(J$1,test!$A$3:$F$32,3,FALSE)),1,0)</f>
        <v>1</v>
      </c>
      <c r="K25" s="3">
        <f>IF(AND(VLOOKUP(K$1,test!$A$3:$G$32,5,FALSE)-VLOOKUP($A25,test!$A$3:$G$32,6,FALSE)&gt;=VLOOKUP(VLOOKUP(K$1, test!$A$3:$G$32,3,FALSE), test!$J$11:$K$14, 2, FALSE)/1440,VLOOKUP($A25,test!$A$3:$F$32,4,FALSE)=VLOOKUP(K$1,test!$A$3:$F$32,3,FALSE)),1,0)</f>
        <v>0</v>
      </c>
      <c r="L25" s="3">
        <f>IF(AND(VLOOKUP(L$1,test!$A$3:$G$32,5,FALSE)-VLOOKUP($A25,test!$A$3:$G$32,6,FALSE)&gt;=VLOOKUP(VLOOKUP(L$1, test!$A$3:$G$32,3,FALSE), test!$J$11:$K$14, 2, FALSE)/1440,VLOOKUP($A25,test!$A$3:$F$32,4,FALSE)=VLOOKUP(L$1,test!$A$3:$F$32,3,FALSE)),1,0)</f>
        <v>0</v>
      </c>
      <c r="M25" s="3">
        <f>IF(AND(VLOOKUP(M$1,test!$A$3:$G$32,5,FALSE)-VLOOKUP($A25,test!$A$3:$G$32,6,FALSE)&gt;=VLOOKUP(VLOOKUP(M$1, test!$A$3:$G$32,3,FALSE), test!$J$11:$K$14, 2, FALSE)/1440,VLOOKUP($A25,test!$A$3:$F$32,4,FALSE)=VLOOKUP(M$1,test!$A$3:$F$32,3,FALSE)),1,0)</f>
        <v>1</v>
      </c>
      <c r="N25" s="3">
        <f>IF(AND(VLOOKUP(N$1,test!$A$3:$G$32,5,FALSE)-VLOOKUP($A25,test!$A$3:$G$32,6,FALSE)&gt;=VLOOKUP(VLOOKUP(N$1, test!$A$3:$G$32,3,FALSE), test!$J$11:$K$14, 2, FALSE)/1440,VLOOKUP($A25,test!$A$3:$F$32,4,FALSE)=VLOOKUP(N$1,test!$A$3:$F$32,3,FALSE)),1,0)</f>
        <v>1</v>
      </c>
      <c r="O25" s="3">
        <f>IF(AND(VLOOKUP(O$1,test!$A$3:$G$32,5,FALSE)-VLOOKUP($A25,test!$A$3:$G$32,6,FALSE)&gt;=VLOOKUP(VLOOKUP(O$1, test!$A$3:$G$32,3,FALSE), test!$J$11:$K$14, 2, FALSE)/1440,VLOOKUP($A25,test!$A$3:$F$32,4,FALSE)=VLOOKUP(O$1,test!$A$3:$F$32,3,FALSE)),1,0)</f>
        <v>1</v>
      </c>
      <c r="P25" s="3">
        <f>IF(AND(VLOOKUP(P$1,test!$A$3:$G$32,5,FALSE)-VLOOKUP($A25,test!$A$3:$G$32,6,FALSE)&gt;=VLOOKUP(VLOOKUP(P$1, test!$A$3:$G$32,3,FALSE), test!$J$11:$K$14, 2, FALSE)/1440,VLOOKUP($A25,test!$A$3:$F$32,4,FALSE)=VLOOKUP(P$1,test!$A$3:$F$32,3,FALSE)),1,0)</f>
        <v>0</v>
      </c>
      <c r="Q25" s="3">
        <f>IF(AND(VLOOKUP(Q$1,test!$A$3:$G$32,5,FALSE)-VLOOKUP($A25,test!$A$3:$G$32,6,FALSE)&gt;=VLOOKUP(VLOOKUP(Q$1, test!$A$3:$G$32,3,FALSE), test!$J$11:$K$14, 2, FALSE)/1440,VLOOKUP($A25,test!$A$3:$F$32,4,FALSE)=VLOOKUP(Q$1,test!$A$3:$F$32,3,FALSE)),1,0)</f>
        <v>0</v>
      </c>
      <c r="R25" s="3">
        <f>IF(AND(VLOOKUP(R$1,test!$A$3:$G$32,5,FALSE)-VLOOKUP($A25,test!$A$3:$G$32,6,FALSE)&gt;=VLOOKUP(VLOOKUP(R$1, test!$A$3:$G$32,3,FALSE), test!$J$11:$K$14, 2, FALSE)/1440,VLOOKUP($A25,test!$A$3:$F$32,4,FALSE)=VLOOKUP(R$1,test!$A$3:$F$32,3,FALSE)),1,0)</f>
        <v>0</v>
      </c>
      <c r="S25" s="3">
        <f>IF(AND(VLOOKUP(S$1,test!$A$3:$G$32,5,FALSE)-VLOOKUP($A25,test!$A$3:$G$32,6,FALSE)&gt;=VLOOKUP(VLOOKUP(S$1, test!$A$3:$G$32,3,FALSE), test!$J$11:$K$14, 2, FALSE)/1440,VLOOKUP($A25,test!$A$3:$F$32,4,FALSE)=VLOOKUP(S$1,test!$A$3:$F$32,3,FALSE)),1,0)</f>
        <v>0</v>
      </c>
      <c r="T25" s="3">
        <f>IF(AND(VLOOKUP(T$1,test!$A$3:$G$32,5,FALSE)-VLOOKUP($A25,test!$A$3:$G$32,6,FALSE)&gt;=VLOOKUP(VLOOKUP(T$1, test!$A$3:$G$32,3,FALSE), test!$J$11:$K$14, 2, FALSE)/1440,VLOOKUP($A25,test!$A$3:$F$32,4,FALSE)=VLOOKUP(T$1,test!$A$3:$F$32,3,FALSE)),1,0)</f>
        <v>0</v>
      </c>
      <c r="U25" s="3">
        <f>IF(AND(VLOOKUP(U$1,test!$A$3:$G$32,5,FALSE)-VLOOKUP($A25,test!$A$3:$G$32,6,FALSE)&gt;=VLOOKUP(VLOOKUP(U$1, test!$A$3:$G$32,3,FALSE), test!$J$11:$K$14, 2, FALSE)/1440,VLOOKUP($A25,test!$A$3:$F$32,4,FALSE)=VLOOKUP(U$1,test!$A$3:$F$32,3,FALSE)),1,0)</f>
        <v>0</v>
      </c>
      <c r="V25" s="3">
        <f>IF(AND(VLOOKUP(V$1,test!$A$3:$G$32,5,FALSE)-VLOOKUP($A25,test!$A$3:$G$32,6,FALSE)&gt;=VLOOKUP(VLOOKUP(V$1, test!$A$3:$G$32,3,FALSE), test!$J$11:$K$14, 2, FALSE)/1440,VLOOKUP($A25,test!$A$3:$F$32,4,FALSE)=VLOOKUP(V$1,test!$A$3:$F$32,3,FALSE)),1,0)</f>
        <v>0</v>
      </c>
      <c r="W25" s="3">
        <f>IF(AND(VLOOKUP(W$1,test!$A$3:$G$32,5,FALSE)-VLOOKUP($A25,test!$A$3:$G$32,6,FALSE)&gt;=VLOOKUP(VLOOKUP(W$1, test!$A$3:$G$32,3,FALSE), test!$J$11:$K$14, 2, FALSE)/1440,VLOOKUP($A25,test!$A$3:$F$32,4,FALSE)=VLOOKUP(W$1,test!$A$3:$F$32,3,FALSE)),1,0)</f>
        <v>0</v>
      </c>
      <c r="X25" s="3">
        <f>IF(AND(VLOOKUP(X$1,test!$A$3:$G$32,5,FALSE)-VLOOKUP($A25,test!$A$3:$G$32,6,FALSE)&gt;=VLOOKUP(VLOOKUP(X$1, test!$A$3:$G$32,3,FALSE), test!$J$11:$K$14, 2, FALSE)/1440,VLOOKUP($A25,test!$A$3:$F$32,4,FALSE)=VLOOKUP(X$1,test!$A$3:$F$32,3,FALSE)),1,0)</f>
        <v>0</v>
      </c>
      <c r="Y25" s="3">
        <f>IF(AND(VLOOKUP(Y$1,test!$A$3:$G$32,5,FALSE)-VLOOKUP($A25,test!$A$3:$G$32,6,FALSE)&gt;=VLOOKUP(VLOOKUP(Y$1, test!$A$3:$G$32,3,FALSE), test!$J$11:$K$14, 2, FALSE)/1440,VLOOKUP($A25,test!$A$3:$F$32,4,FALSE)=VLOOKUP(Y$1,test!$A$3:$F$32,3,FALSE)),1,0)</f>
        <v>0</v>
      </c>
      <c r="Z25" s="3">
        <f>IF(AND(VLOOKUP(Z$1,test!$A$3:$G$32,5,FALSE)-VLOOKUP($A25,test!$A$3:$G$32,6,FALSE)&gt;=VLOOKUP(VLOOKUP(Z$1, test!$A$3:$G$32,3,FALSE), test!$J$11:$K$14, 2, FALSE)/1440,VLOOKUP($A25,test!$A$3:$F$32,4,FALSE)=VLOOKUP(Z$1,test!$A$3:$F$32,3,FALSE)),1,0)</f>
        <v>0</v>
      </c>
      <c r="AA25" s="3">
        <f>IF(AND(VLOOKUP(AA$1,test!$A$3:$G$32,5,FALSE)-VLOOKUP($A25,test!$A$3:$G$32,6,FALSE)&gt;=VLOOKUP(VLOOKUP(AA$1, test!$A$3:$G$32,3,FALSE), test!$J$11:$K$14, 2, FALSE)/1440,VLOOKUP($A25,test!$A$3:$F$32,4,FALSE)=VLOOKUP(AA$1,test!$A$3:$F$32,3,FALSE)),1,0)</f>
        <v>0</v>
      </c>
      <c r="AB25" s="3">
        <f>IF(AND(VLOOKUP(AB$1,test!$A$3:$G$32,5,FALSE)-VLOOKUP($A25,test!$A$3:$G$32,6,FALSE)&gt;=VLOOKUP(VLOOKUP(AB$1, test!$A$3:$G$32,3,FALSE), test!$J$11:$K$14, 2, FALSE)/1440,VLOOKUP($A25,test!$A$3:$F$32,4,FALSE)=VLOOKUP(AB$1,test!$A$3:$F$32,3,FALSE)),1,0)</f>
        <v>0</v>
      </c>
      <c r="AC25" s="3">
        <f>IF(AND(VLOOKUP(AC$1,test!$A$3:$G$32,5,FALSE)-VLOOKUP($A25,test!$A$3:$G$32,6,FALSE)&gt;=VLOOKUP(VLOOKUP(AC$1, test!$A$3:$G$32,3,FALSE), test!$J$11:$K$14, 2, FALSE)/1440,VLOOKUP($A25,test!$A$3:$F$32,4,FALSE)=VLOOKUP(AC$1,test!$A$3:$F$32,3,FALSE)),1,0)</f>
        <v>0</v>
      </c>
      <c r="AD25" s="3">
        <f>IF(AND(VLOOKUP(AD$1,test!$A$3:$G$32,5,FALSE)-VLOOKUP($A25,test!$A$3:$G$32,6,FALSE)&gt;=VLOOKUP(VLOOKUP(AD$1, test!$A$3:$G$32,3,FALSE), test!$J$11:$K$14, 2, FALSE)/1440,VLOOKUP($A25,test!$A$3:$F$32,4,FALSE)=VLOOKUP(AD$1,test!$A$3:$F$32,3,FALSE)),1,0)</f>
        <v>0</v>
      </c>
      <c r="AE25" s="3">
        <f>IF(AND(VLOOKUP(AE$1,test!$A$3:$G$32,5,FALSE)-VLOOKUP($A25,test!$A$3:$G$32,6,FALSE)&gt;=VLOOKUP(VLOOKUP(AE$1, test!$A$3:$G$32,3,FALSE), test!$J$11:$K$14, 2, FALSE)/1440,VLOOKUP($A25,test!$A$3:$F$32,4,FALSE)=VLOOKUP(AE$1,test!$A$3:$F$32,3,FALSE)),1,0)</f>
        <v>0</v>
      </c>
      <c r="AF25" s="3">
        <f>IF(AND(VLOOKUP(AF$1,test!$A$3:$G$32,5,FALSE)-VLOOKUP($A25,test!$A$3:$G$32,6,FALSE)&gt;=VLOOKUP(VLOOKUP(AF$1, test!$A$3:$G$32,3,FALSE), test!$J$11:$K$14, 2, FALSE)/1440,VLOOKUP($A25,test!$A$3:$F$32,4,FALSE)=VLOOKUP(AF$1,test!$A$3:$F$32,3,FALSE)),1,0)</f>
        <v>0</v>
      </c>
    </row>
    <row r="26" spans="1:32" x14ac:dyDescent="0.25">
      <c r="A26" t="s">
        <v>35</v>
      </c>
      <c r="B26" s="4">
        <v>1</v>
      </c>
      <c r="C26" s="3">
        <f>IF(AND(VLOOKUP(C$1,test!$A$3:$G$32,5,FALSE)-VLOOKUP($A26,test!$A$3:$G$32,6,FALSE)&gt;=VLOOKUP(VLOOKUP(C$1, test!$A$3:$G$32,3,FALSE), test!$J$11:$K$14, 2, FALSE)/1440,VLOOKUP($A26,test!$A$3:$F$32,4,FALSE)=VLOOKUP(C$1,test!$A$3:$F$32,3,FALSE)),1,0)</f>
        <v>0</v>
      </c>
      <c r="D26" s="3">
        <f>IF(AND(VLOOKUP(D$1,test!$A$3:$G$32,5,FALSE)-VLOOKUP($A26,test!$A$3:$G$32,6,FALSE)&gt;=VLOOKUP(VLOOKUP(D$1, test!$A$3:$G$32,3,FALSE), test!$J$11:$K$14, 2, FALSE)/1440,VLOOKUP($A26,test!$A$3:$F$32,4,FALSE)=VLOOKUP(D$1,test!$A$3:$F$32,3,FALSE)),1,0)</f>
        <v>0</v>
      </c>
      <c r="E26" s="3">
        <f>IF(AND(VLOOKUP(E$1,test!$A$3:$G$32,5,FALSE)-VLOOKUP($A26,test!$A$3:$G$32,6,FALSE)&gt;=VLOOKUP(VLOOKUP(E$1, test!$A$3:$G$32,3,FALSE), test!$J$11:$K$14, 2, FALSE)/1440,VLOOKUP($A26,test!$A$3:$F$32,4,FALSE)=VLOOKUP(E$1,test!$A$3:$F$32,3,FALSE)),1,0)</f>
        <v>0</v>
      </c>
      <c r="F26" s="3">
        <f>IF(AND(VLOOKUP(F$1,test!$A$3:$G$32,5,FALSE)-VLOOKUP($A26,test!$A$3:$G$32,6,FALSE)&gt;=VLOOKUP(VLOOKUP(F$1, test!$A$3:$G$32,3,FALSE), test!$J$11:$K$14, 2, FALSE)/1440,VLOOKUP($A26,test!$A$3:$F$32,4,FALSE)=VLOOKUP(F$1,test!$A$3:$F$32,3,FALSE)),1,0)</f>
        <v>1</v>
      </c>
      <c r="G26" s="3">
        <f>IF(AND(VLOOKUP(G$1,test!$A$3:$G$32,5,FALSE)-VLOOKUP($A26,test!$A$3:$G$32,6,FALSE)&gt;=VLOOKUP(VLOOKUP(G$1, test!$A$3:$G$32,3,FALSE), test!$J$11:$K$14, 2, FALSE)/1440,VLOOKUP($A26,test!$A$3:$F$32,4,FALSE)=VLOOKUP(G$1,test!$A$3:$F$32,3,FALSE)),1,0)</f>
        <v>1</v>
      </c>
      <c r="H26" s="3">
        <f>IF(AND(VLOOKUP(H$1,test!$A$3:$G$32,5,FALSE)-VLOOKUP($A26,test!$A$3:$G$32,6,FALSE)&gt;=VLOOKUP(VLOOKUP(H$1, test!$A$3:$G$32,3,FALSE), test!$J$11:$K$14, 2, FALSE)/1440,VLOOKUP($A26,test!$A$3:$F$32,4,FALSE)=VLOOKUP(H$1,test!$A$3:$F$32,3,FALSE)),1,0)</f>
        <v>1</v>
      </c>
      <c r="I26" s="3">
        <f>IF(AND(VLOOKUP(I$1,test!$A$3:$G$32,5,FALSE)-VLOOKUP($A26,test!$A$3:$G$32,6,FALSE)&gt;=VLOOKUP(VLOOKUP(I$1, test!$A$3:$G$32,3,FALSE), test!$J$11:$K$14, 2, FALSE)/1440,VLOOKUP($A26,test!$A$3:$F$32,4,FALSE)=VLOOKUP(I$1,test!$A$3:$F$32,3,FALSE)),1,0)</f>
        <v>1</v>
      </c>
      <c r="J26" s="3">
        <f>IF(AND(VLOOKUP(J$1,test!$A$3:$G$32,5,FALSE)-VLOOKUP($A26,test!$A$3:$G$32,6,FALSE)&gt;=VLOOKUP(VLOOKUP(J$1, test!$A$3:$G$32,3,FALSE), test!$J$11:$K$14, 2, FALSE)/1440,VLOOKUP($A26,test!$A$3:$F$32,4,FALSE)=VLOOKUP(J$1,test!$A$3:$F$32,3,FALSE)),1,0)</f>
        <v>1</v>
      </c>
      <c r="K26" s="3">
        <f>IF(AND(VLOOKUP(K$1,test!$A$3:$G$32,5,FALSE)-VLOOKUP($A26,test!$A$3:$G$32,6,FALSE)&gt;=VLOOKUP(VLOOKUP(K$1, test!$A$3:$G$32,3,FALSE), test!$J$11:$K$14, 2, FALSE)/1440,VLOOKUP($A26,test!$A$3:$F$32,4,FALSE)=VLOOKUP(K$1,test!$A$3:$F$32,3,FALSE)),1,0)</f>
        <v>0</v>
      </c>
      <c r="L26" s="3">
        <f>IF(AND(VLOOKUP(L$1,test!$A$3:$G$32,5,FALSE)-VLOOKUP($A26,test!$A$3:$G$32,6,FALSE)&gt;=VLOOKUP(VLOOKUP(L$1, test!$A$3:$G$32,3,FALSE), test!$J$11:$K$14, 2, FALSE)/1440,VLOOKUP($A26,test!$A$3:$F$32,4,FALSE)=VLOOKUP(L$1,test!$A$3:$F$32,3,FALSE)),1,0)</f>
        <v>0</v>
      </c>
      <c r="M26" s="3">
        <f>IF(AND(VLOOKUP(M$1,test!$A$3:$G$32,5,FALSE)-VLOOKUP($A26,test!$A$3:$G$32,6,FALSE)&gt;=VLOOKUP(VLOOKUP(M$1, test!$A$3:$G$32,3,FALSE), test!$J$11:$K$14, 2, FALSE)/1440,VLOOKUP($A26,test!$A$3:$F$32,4,FALSE)=VLOOKUP(M$1,test!$A$3:$F$32,3,FALSE)),1,0)</f>
        <v>0</v>
      </c>
      <c r="N26" s="3">
        <f>IF(AND(VLOOKUP(N$1,test!$A$3:$G$32,5,FALSE)-VLOOKUP($A26,test!$A$3:$G$32,6,FALSE)&gt;=VLOOKUP(VLOOKUP(N$1, test!$A$3:$G$32,3,FALSE), test!$J$11:$K$14, 2, FALSE)/1440,VLOOKUP($A26,test!$A$3:$F$32,4,FALSE)=VLOOKUP(N$1,test!$A$3:$F$32,3,FALSE)),1,0)</f>
        <v>1</v>
      </c>
      <c r="O26" s="3">
        <f>IF(AND(VLOOKUP(O$1,test!$A$3:$G$32,5,FALSE)-VLOOKUP($A26,test!$A$3:$G$32,6,FALSE)&gt;=VLOOKUP(VLOOKUP(O$1, test!$A$3:$G$32,3,FALSE), test!$J$11:$K$14, 2, FALSE)/1440,VLOOKUP($A26,test!$A$3:$F$32,4,FALSE)=VLOOKUP(O$1,test!$A$3:$F$32,3,FALSE)),1,0)</f>
        <v>1</v>
      </c>
      <c r="P26" s="3">
        <f>IF(AND(VLOOKUP(P$1,test!$A$3:$G$32,5,FALSE)-VLOOKUP($A26,test!$A$3:$G$32,6,FALSE)&gt;=VLOOKUP(VLOOKUP(P$1, test!$A$3:$G$32,3,FALSE), test!$J$11:$K$14, 2, FALSE)/1440,VLOOKUP($A26,test!$A$3:$F$32,4,FALSE)=VLOOKUP(P$1,test!$A$3:$F$32,3,FALSE)),1,0)</f>
        <v>0</v>
      </c>
      <c r="Q26" s="3">
        <f>IF(AND(VLOOKUP(Q$1,test!$A$3:$G$32,5,FALSE)-VLOOKUP($A26,test!$A$3:$G$32,6,FALSE)&gt;=VLOOKUP(VLOOKUP(Q$1, test!$A$3:$G$32,3,FALSE), test!$J$11:$K$14, 2, FALSE)/1440,VLOOKUP($A26,test!$A$3:$F$32,4,FALSE)=VLOOKUP(Q$1,test!$A$3:$F$32,3,FALSE)),1,0)</f>
        <v>0</v>
      </c>
      <c r="R26" s="3">
        <f>IF(AND(VLOOKUP(R$1,test!$A$3:$G$32,5,FALSE)-VLOOKUP($A26,test!$A$3:$G$32,6,FALSE)&gt;=VLOOKUP(VLOOKUP(R$1, test!$A$3:$G$32,3,FALSE), test!$J$11:$K$14, 2, FALSE)/1440,VLOOKUP($A26,test!$A$3:$F$32,4,FALSE)=VLOOKUP(R$1,test!$A$3:$F$32,3,FALSE)),1,0)</f>
        <v>0</v>
      </c>
      <c r="S26" s="3">
        <f>IF(AND(VLOOKUP(S$1,test!$A$3:$G$32,5,FALSE)-VLOOKUP($A26,test!$A$3:$G$32,6,FALSE)&gt;=VLOOKUP(VLOOKUP(S$1, test!$A$3:$G$32,3,FALSE), test!$J$11:$K$14, 2, FALSE)/1440,VLOOKUP($A26,test!$A$3:$F$32,4,FALSE)=VLOOKUP(S$1,test!$A$3:$F$32,3,FALSE)),1,0)</f>
        <v>0</v>
      </c>
      <c r="T26" s="3">
        <f>IF(AND(VLOOKUP(T$1,test!$A$3:$G$32,5,FALSE)-VLOOKUP($A26,test!$A$3:$G$32,6,FALSE)&gt;=VLOOKUP(VLOOKUP(T$1, test!$A$3:$G$32,3,FALSE), test!$J$11:$K$14, 2, FALSE)/1440,VLOOKUP($A26,test!$A$3:$F$32,4,FALSE)=VLOOKUP(T$1,test!$A$3:$F$32,3,FALSE)),1,0)</f>
        <v>0</v>
      </c>
      <c r="U26" s="3">
        <f>IF(AND(VLOOKUP(U$1,test!$A$3:$G$32,5,FALSE)-VLOOKUP($A26,test!$A$3:$G$32,6,FALSE)&gt;=VLOOKUP(VLOOKUP(U$1, test!$A$3:$G$32,3,FALSE), test!$J$11:$K$14, 2, FALSE)/1440,VLOOKUP($A26,test!$A$3:$F$32,4,FALSE)=VLOOKUP(U$1,test!$A$3:$F$32,3,FALSE)),1,0)</f>
        <v>0</v>
      </c>
      <c r="V26" s="3">
        <f>IF(AND(VLOOKUP(V$1,test!$A$3:$G$32,5,FALSE)-VLOOKUP($A26,test!$A$3:$G$32,6,FALSE)&gt;=VLOOKUP(VLOOKUP(V$1, test!$A$3:$G$32,3,FALSE), test!$J$11:$K$14, 2, FALSE)/1440,VLOOKUP($A26,test!$A$3:$F$32,4,FALSE)=VLOOKUP(V$1,test!$A$3:$F$32,3,FALSE)),1,0)</f>
        <v>0</v>
      </c>
      <c r="W26" s="3">
        <f>IF(AND(VLOOKUP(W$1,test!$A$3:$G$32,5,FALSE)-VLOOKUP($A26,test!$A$3:$G$32,6,FALSE)&gt;=VLOOKUP(VLOOKUP(W$1, test!$A$3:$G$32,3,FALSE), test!$J$11:$K$14, 2, FALSE)/1440,VLOOKUP($A26,test!$A$3:$F$32,4,FALSE)=VLOOKUP(W$1,test!$A$3:$F$32,3,FALSE)),1,0)</f>
        <v>0</v>
      </c>
      <c r="X26" s="3">
        <f>IF(AND(VLOOKUP(X$1,test!$A$3:$G$32,5,FALSE)-VLOOKUP($A26,test!$A$3:$G$32,6,FALSE)&gt;=VLOOKUP(VLOOKUP(X$1, test!$A$3:$G$32,3,FALSE), test!$J$11:$K$14, 2, FALSE)/1440,VLOOKUP($A26,test!$A$3:$F$32,4,FALSE)=VLOOKUP(X$1,test!$A$3:$F$32,3,FALSE)),1,0)</f>
        <v>0</v>
      </c>
      <c r="Y26" s="3">
        <f>IF(AND(VLOOKUP(Y$1,test!$A$3:$G$32,5,FALSE)-VLOOKUP($A26,test!$A$3:$G$32,6,FALSE)&gt;=VLOOKUP(VLOOKUP(Y$1, test!$A$3:$G$32,3,FALSE), test!$J$11:$K$14, 2, FALSE)/1440,VLOOKUP($A26,test!$A$3:$F$32,4,FALSE)=VLOOKUP(Y$1,test!$A$3:$F$32,3,FALSE)),1,0)</f>
        <v>0</v>
      </c>
      <c r="Z26" s="3">
        <f>IF(AND(VLOOKUP(Z$1,test!$A$3:$G$32,5,FALSE)-VLOOKUP($A26,test!$A$3:$G$32,6,FALSE)&gt;=VLOOKUP(VLOOKUP(Z$1, test!$A$3:$G$32,3,FALSE), test!$J$11:$K$14, 2, FALSE)/1440,VLOOKUP($A26,test!$A$3:$F$32,4,FALSE)=VLOOKUP(Z$1,test!$A$3:$F$32,3,FALSE)),1,0)</f>
        <v>0</v>
      </c>
      <c r="AA26" s="3">
        <f>IF(AND(VLOOKUP(AA$1,test!$A$3:$G$32,5,FALSE)-VLOOKUP($A26,test!$A$3:$G$32,6,FALSE)&gt;=VLOOKUP(VLOOKUP(AA$1, test!$A$3:$G$32,3,FALSE), test!$J$11:$K$14, 2, FALSE)/1440,VLOOKUP($A26,test!$A$3:$F$32,4,FALSE)=VLOOKUP(AA$1,test!$A$3:$F$32,3,FALSE)),1,0)</f>
        <v>0</v>
      </c>
      <c r="AB26" s="3">
        <f>IF(AND(VLOOKUP(AB$1,test!$A$3:$G$32,5,FALSE)-VLOOKUP($A26,test!$A$3:$G$32,6,FALSE)&gt;=VLOOKUP(VLOOKUP(AB$1, test!$A$3:$G$32,3,FALSE), test!$J$11:$K$14, 2, FALSE)/1440,VLOOKUP($A26,test!$A$3:$F$32,4,FALSE)=VLOOKUP(AB$1,test!$A$3:$F$32,3,FALSE)),1,0)</f>
        <v>0</v>
      </c>
      <c r="AC26" s="3">
        <f>IF(AND(VLOOKUP(AC$1,test!$A$3:$G$32,5,FALSE)-VLOOKUP($A26,test!$A$3:$G$32,6,FALSE)&gt;=VLOOKUP(VLOOKUP(AC$1, test!$A$3:$G$32,3,FALSE), test!$J$11:$K$14, 2, FALSE)/1440,VLOOKUP($A26,test!$A$3:$F$32,4,FALSE)=VLOOKUP(AC$1,test!$A$3:$F$32,3,FALSE)),1,0)</f>
        <v>0</v>
      </c>
      <c r="AD26" s="3">
        <f>IF(AND(VLOOKUP(AD$1,test!$A$3:$G$32,5,FALSE)-VLOOKUP($A26,test!$A$3:$G$32,6,FALSE)&gt;=VLOOKUP(VLOOKUP(AD$1, test!$A$3:$G$32,3,FALSE), test!$J$11:$K$14, 2, FALSE)/1440,VLOOKUP($A26,test!$A$3:$F$32,4,FALSE)=VLOOKUP(AD$1,test!$A$3:$F$32,3,FALSE)),1,0)</f>
        <v>0</v>
      </c>
      <c r="AE26" s="3">
        <f>IF(AND(VLOOKUP(AE$1,test!$A$3:$G$32,5,FALSE)-VLOOKUP($A26,test!$A$3:$G$32,6,FALSE)&gt;=VLOOKUP(VLOOKUP(AE$1, test!$A$3:$G$32,3,FALSE), test!$J$11:$K$14, 2, FALSE)/1440,VLOOKUP($A26,test!$A$3:$F$32,4,FALSE)=VLOOKUP(AE$1,test!$A$3:$F$32,3,FALSE)),1,0)</f>
        <v>0</v>
      </c>
      <c r="AF26" s="3">
        <f>IF(AND(VLOOKUP(AF$1,test!$A$3:$G$32,5,FALSE)-VLOOKUP($A26,test!$A$3:$G$32,6,FALSE)&gt;=VLOOKUP(VLOOKUP(AF$1, test!$A$3:$G$32,3,FALSE), test!$J$11:$K$14, 2, FALSE)/1440,VLOOKUP($A26,test!$A$3:$F$32,4,FALSE)=VLOOKUP(AF$1,test!$A$3:$F$32,3,FALSE)),1,0)</f>
        <v>0</v>
      </c>
    </row>
    <row r="27" spans="1:32" x14ac:dyDescent="0.25">
      <c r="A27" t="s">
        <v>36</v>
      </c>
      <c r="B27" s="4">
        <v>1</v>
      </c>
      <c r="C27" s="3">
        <f>IF(AND(VLOOKUP(C$1,test!$A$3:$G$32,5,FALSE)-VLOOKUP($A27,test!$A$3:$G$32,6,FALSE)&gt;=VLOOKUP(VLOOKUP(C$1, test!$A$3:$G$32,3,FALSE), test!$J$11:$K$14, 2, FALSE)/1440,VLOOKUP($A27,test!$A$3:$F$32,4,FALSE)=VLOOKUP(C$1,test!$A$3:$F$32,3,FALSE)),1,0)</f>
        <v>0</v>
      </c>
      <c r="D27" s="3">
        <f>IF(AND(VLOOKUP(D$1,test!$A$3:$G$32,5,FALSE)-VLOOKUP($A27,test!$A$3:$G$32,6,FALSE)&gt;=VLOOKUP(VLOOKUP(D$1, test!$A$3:$G$32,3,FALSE), test!$J$11:$K$14, 2, FALSE)/1440,VLOOKUP($A27,test!$A$3:$F$32,4,FALSE)=VLOOKUP(D$1,test!$A$3:$F$32,3,FALSE)),1,0)</f>
        <v>0</v>
      </c>
      <c r="E27" s="3">
        <f>IF(AND(VLOOKUP(E$1,test!$A$3:$G$32,5,FALSE)-VLOOKUP($A27,test!$A$3:$G$32,6,FALSE)&gt;=VLOOKUP(VLOOKUP(E$1, test!$A$3:$G$32,3,FALSE), test!$J$11:$K$14, 2, FALSE)/1440,VLOOKUP($A27,test!$A$3:$F$32,4,FALSE)=VLOOKUP(E$1,test!$A$3:$F$32,3,FALSE)),1,0)</f>
        <v>0</v>
      </c>
      <c r="F27" s="3">
        <f>IF(AND(VLOOKUP(F$1,test!$A$3:$G$32,5,FALSE)-VLOOKUP($A27,test!$A$3:$G$32,6,FALSE)&gt;=VLOOKUP(VLOOKUP(F$1, test!$A$3:$G$32,3,FALSE), test!$J$11:$K$14, 2, FALSE)/1440,VLOOKUP($A27,test!$A$3:$F$32,4,FALSE)=VLOOKUP(F$1,test!$A$3:$F$32,3,FALSE)),1,0)</f>
        <v>0</v>
      </c>
      <c r="G27" s="3">
        <f>IF(AND(VLOOKUP(G$1,test!$A$3:$G$32,5,FALSE)-VLOOKUP($A27,test!$A$3:$G$32,6,FALSE)&gt;=VLOOKUP(VLOOKUP(G$1, test!$A$3:$G$32,3,FALSE), test!$J$11:$K$14, 2, FALSE)/1440,VLOOKUP($A27,test!$A$3:$F$32,4,FALSE)=VLOOKUP(G$1,test!$A$3:$F$32,3,FALSE)),1,0)</f>
        <v>0</v>
      </c>
      <c r="H27" s="3">
        <f>IF(AND(VLOOKUP(H$1,test!$A$3:$G$32,5,FALSE)-VLOOKUP($A27,test!$A$3:$G$32,6,FALSE)&gt;=VLOOKUP(VLOOKUP(H$1, test!$A$3:$G$32,3,FALSE), test!$J$11:$K$14, 2, FALSE)/1440,VLOOKUP($A27,test!$A$3:$F$32,4,FALSE)=VLOOKUP(H$1,test!$A$3:$F$32,3,FALSE)),1,0)</f>
        <v>1</v>
      </c>
      <c r="I27" s="3">
        <f>IF(AND(VLOOKUP(I$1,test!$A$3:$G$32,5,FALSE)-VLOOKUP($A27,test!$A$3:$G$32,6,FALSE)&gt;=VLOOKUP(VLOOKUP(I$1, test!$A$3:$G$32,3,FALSE), test!$J$11:$K$14, 2, FALSE)/1440,VLOOKUP($A27,test!$A$3:$F$32,4,FALSE)=VLOOKUP(I$1,test!$A$3:$F$32,3,FALSE)),1,0)</f>
        <v>1</v>
      </c>
      <c r="J27" s="3">
        <f>IF(AND(VLOOKUP(J$1,test!$A$3:$G$32,5,FALSE)-VLOOKUP($A27,test!$A$3:$G$32,6,FALSE)&gt;=VLOOKUP(VLOOKUP(J$1, test!$A$3:$G$32,3,FALSE), test!$J$11:$K$14, 2, FALSE)/1440,VLOOKUP($A27,test!$A$3:$F$32,4,FALSE)=VLOOKUP(J$1,test!$A$3:$F$32,3,FALSE)),1,0)</f>
        <v>1</v>
      </c>
      <c r="K27" s="3">
        <f>IF(AND(VLOOKUP(K$1,test!$A$3:$G$32,5,FALSE)-VLOOKUP($A27,test!$A$3:$G$32,6,FALSE)&gt;=VLOOKUP(VLOOKUP(K$1, test!$A$3:$G$32,3,FALSE), test!$J$11:$K$14, 2, FALSE)/1440,VLOOKUP($A27,test!$A$3:$F$32,4,FALSE)=VLOOKUP(K$1,test!$A$3:$F$32,3,FALSE)),1,0)</f>
        <v>0</v>
      </c>
      <c r="L27" s="3">
        <f>IF(AND(VLOOKUP(L$1,test!$A$3:$G$32,5,FALSE)-VLOOKUP($A27,test!$A$3:$G$32,6,FALSE)&gt;=VLOOKUP(VLOOKUP(L$1, test!$A$3:$G$32,3,FALSE), test!$J$11:$K$14, 2, FALSE)/1440,VLOOKUP($A27,test!$A$3:$F$32,4,FALSE)=VLOOKUP(L$1,test!$A$3:$F$32,3,FALSE)),1,0)</f>
        <v>0</v>
      </c>
      <c r="M27" s="3">
        <f>IF(AND(VLOOKUP(M$1,test!$A$3:$G$32,5,FALSE)-VLOOKUP($A27,test!$A$3:$G$32,6,FALSE)&gt;=VLOOKUP(VLOOKUP(M$1, test!$A$3:$G$32,3,FALSE), test!$J$11:$K$14, 2, FALSE)/1440,VLOOKUP($A27,test!$A$3:$F$32,4,FALSE)=VLOOKUP(M$1,test!$A$3:$F$32,3,FALSE)),1,0)</f>
        <v>0</v>
      </c>
      <c r="N27" s="3">
        <f>IF(AND(VLOOKUP(N$1,test!$A$3:$G$32,5,FALSE)-VLOOKUP($A27,test!$A$3:$G$32,6,FALSE)&gt;=VLOOKUP(VLOOKUP(N$1, test!$A$3:$G$32,3,FALSE), test!$J$11:$K$14, 2, FALSE)/1440,VLOOKUP($A27,test!$A$3:$F$32,4,FALSE)=VLOOKUP(N$1,test!$A$3:$F$32,3,FALSE)),1,0)</f>
        <v>1</v>
      </c>
      <c r="O27" s="3">
        <f>IF(AND(VLOOKUP(O$1,test!$A$3:$G$32,5,FALSE)-VLOOKUP($A27,test!$A$3:$G$32,6,FALSE)&gt;=VLOOKUP(VLOOKUP(O$1, test!$A$3:$G$32,3,FALSE), test!$J$11:$K$14, 2, FALSE)/1440,VLOOKUP($A27,test!$A$3:$F$32,4,FALSE)=VLOOKUP(O$1,test!$A$3:$F$32,3,FALSE)),1,0)</f>
        <v>1</v>
      </c>
      <c r="P27" s="3">
        <f>IF(AND(VLOOKUP(P$1,test!$A$3:$G$32,5,FALSE)-VLOOKUP($A27,test!$A$3:$G$32,6,FALSE)&gt;=VLOOKUP(VLOOKUP(P$1, test!$A$3:$G$32,3,FALSE), test!$J$11:$K$14, 2, FALSE)/1440,VLOOKUP($A27,test!$A$3:$F$32,4,FALSE)=VLOOKUP(P$1,test!$A$3:$F$32,3,FALSE)),1,0)</f>
        <v>0</v>
      </c>
      <c r="Q27" s="3">
        <f>IF(AND(VLOOKUP(Q$1,test!$A$3:$G$32,5,FALSE)-VLOOKUP($A27,test!$A$3:$G$32,6,FALSE)&gt;=VLOOKUP(VLOOKUP(Q$1, test!$A$3:$G$32,3,FALSE), test!$J$11:$K$14, 2, FALSE)/1440,VLOOKUP($A27,test!$A$3:$F$32,4,FALSE)=VLOOKUP(Q$1,test!$A$3:$F$32,3,FALSE)),1,0)</f>
        <v>0</v>
      </c>
      <c r="R27" s="3">
        <f>IF(AND(VLOOKUP(R$1,test!$A$3:$G$32,5,FALSE)-VLOOKUP($A27,test!$A$3:$G$32,6,FALSE)&gt;=VLOOKUP(VLOOKUP(R$1, test!$A$3:$G$32,3,FALSE), test!$J$11:$K$14, 2, FALSE)/1440,VLOOKUP($A27,test!$A$3:$F$32,4,FALSE)=VLOOKUP(R$1,test!$A$3:$F$32,3,FALSE)),1,0)</f>
        <v>0</v>
      </c>
      <c r="S27" s="3">
        <f>IF(AND(VLOOKUP(S$1,test!$A$3:$G$32,5,FALSE)-VLOOKUP($A27,test!$A$3:$G$32,6,FALSE)&gt;=VLOOKUP(VLOOKUP(S$1, test!$A$3:$G$32,3,FALSE), test!$J$11:$K$14, 2, FALSE)/1440,VLOOKUP($A27,test!$A$3:$F$32,4,FALSE)=VLOOKUP(S$1,test!$A$3:$F$32,3,FALSE)),1,0)</f>
        <v>0</v>
      </c>
      <c r="T27" s="3">
        <f>IF(AND(VLOOKUP(T$1,test!$A$3:$G$32,5,FALSE)-VLOOKUP($A27,test!$A$3:$G$32,6,FALSE)&gt;=VLOOKUP(VLOOKUP(T$1, test!$A$3:$G$32,3,FALSE), test!$J$11:$K$14, 2, FALSE)/1440,VLOOKUP($A27,test!$A$3:$F$32,4,FALSE)=VLOOKUP(T$1,test!$A$3:$F$32,3,FALSE)),1,0)</f>
        <v>0</v>
      </c>
      <c r="U27" s="3">
        <f>IF(AND(VLOOKUP(U$1,test!$A$3:$G$32,5,FALSE)-VLOOKUP($A27,test!$A$3:$G$32,6,FALSE)&gt;=VLOOKUP(VLOOKUP(U$1, test!$A$3:$G$32,3,FALSE), test!$J$11:$K$14, 2, FALSE)/1440,VLOOKUP($A27,test!$A$3:$F$32,4,FALSE)=VLOOKUP(U$1,test!$A$3:$F$32,3,FALSE)),1,0)</f>
        <v>0</v>
      </c>
      <c r="V27" s="3">
        <f>IF(AND(VLOOKUP(V$1,test!$A$3:$G$32,5,FALSE)-VLOOKUP($A27,test!$A$3:$G$32,6,FALSE)&gt;=VLOOKUP(VLOOKUP(V$1, test!$A$3:$G$32,3,FALSE), test!$J$11:$K$14, 2, FALSE)/1440,VLOOKUP($A27,test!$A$3:$F$32,4,FALSE)=VLOOKUP(V$1,test!$A$3:$F$32,3,FALSE)),1,0)</f>
        <v>0</v>
      </c>
      <c r="W27" s="3">
        <f>IF(AND(VLOOKUP(W$1,test!$A$3:$G$32,5,FALSE)-VLOOKUP($A27,test!$A$3:$G$32,6,FALSE)&gt;=VLOOKUP(VLOOKUP(W$1, test!$A$3:$G$32,3,FALSE), test!$J$11:$K$14, 2, FALSE)/1440,VLOOKUP($A27,test!$A$3:$F$32,4,FALSE)=VLOOKUP(W$1,test!$A$3:$F$32,3,FALSE)),1,0)</f>
        <v>0</v>
      </c>
      <c r="X27" s="3">
        <f>IF(AND(VLOOKUP(X$1,test!$A$3:$G$32,5,FALSE)-VLOOKUP($A27,test!$A$3:$G$32,6,FALSE)&gt;=VLOOKUP(VLOOKUP(X$1, test!$A$3:$G$32,3,FALSE), test!$J$11:$K$14, 2, FALSE)/1440,VLOOKUP($A27,test!$A$3:$F$32,4,FALSE)=VLOOKUP(X$1,test!$A$3:$F$32,3,FALSE)),1,0)</f>
        <v>0</v>
      </c>
      <c r="Y27" s="3">
        <f>IF(AND(VLOOKUP(Y$1,test!$A$3:$G$32,5,FALSE)-VLOOKUP($A27,test!$A$3:$G$32,6,FALSE)&gt;=VLOOKUP(VLOOKUP(Y$1, test!$A$3:$G$32,3,FALSE), test!$J$11:$K$14, 2, FALSE)/1440,VLOOKUP($A27,test!$A$3:$F$32,4,FALSE)=VLOOKUP(Y$1,test!$A$3:$F$32,3,FALSE)),1,0)</f>
        <v>0</v>
      </c>
      <c r="Z27" s="3">
        <f>IF(AND(VLOOKUP(Z$1,test!$A$3:$G$32,5,FALSE)-VLOOKUP($A27,test!$A$3:$G$32,6,FALSE)&gt;=VLOOKUP(VLOOKUP(Z$1, test!$A$3:$G$32,3,FALSE), test!$J$11:$K$14, 2, FALSE)/1440,VLOOKUP($A27,test!$A$3:$F$32,4,FALSE)=VLOOKUP(Z$1,test!$A$3:$F$32,3,FALSE)),1,0)</f>
        <v>0</v>
      </c>
      <c r="AA27" s="3">
        <f>IF(AND(VLOOKUP(AA$1,test!$A$3:$G$32,5,FALSE)-VLOOKUP($A27,test!$A$3:$G$32,6,FALSE)&gt;=VLOOKUP(VLOOKUP(AA$1, test!$A$3:$G$32,3,FALSE), test!$J$11:$K$14, 2, FALSE)/1440,VLOOKUP($A27,test!$A$3:$F$32,4,FALSE)=VLOOKUP(AA$1,test!$A$3:$F$32,3,FALSE)),1,0)</f>
        <v>0</v>
      </c>
      <c r="AB27" s="3">
        <f>IF(AND(VLOOKUP(AB$1,test!$A$3:$G$32,5,FALSE)-VLOOKUP($A27,test!$A$3:$G$32,6,FALSE)&gt;=VLOOKUP(VLOOKUP(AB$1, test!$A$3:$G$32,3,FALSE), test!$J$11:$K$14, 2, FALSE)/1440,VLOOKUP($A27,test!$A$3:$F$32,4,FALSE)=VLOOKUP(AB$1,test!$A$3:$F$32,3,FALSE)),1,0)</f>
        <v>0</v>
      </c>
      <c r="AC27" s="3">
        <f>IF(AND(VLOOKUP(AC$1,test!$A$3:$G$32,5,FALSE)-VLOOKUP($A27,test!$A$3:$G$32,6,FALSE)&gt;=VLOOKUP(VLOOKUP(AC$1, test!$A$3:$G$32,3,FALSE), test!$J$11:$K$14, 2, FALSE)/1440,VLOOKUP($A27,test!$A$3:$F$32,4,FALSE)=VLOOKUP(AC$1,test!$A$3:$F$32,3,FALSE)),1,0)</f>
        <v>0</v>
      </c>
      <c r="AD27" s="3">
        <f>IF(AND(VLOOKUP(AD$1,test!$A$3:$G$32,5,FALSE)-VLOOKUP($A27,test!$A$3:$G$32,6,FALSE)&gt;=VLOOKUP(VLOOKUP(AD$1, test!$A$3:$G$32,3,FALSE), test!$J$11:$K$14, 2, FALSE)/1440,VLOOKUP($A27,test!$A$3:$F$32,4,FALSE)=VLOOKUP(AD$1,test!$A$3:$F$32,3,FALSE)),1,0)</f>
        <v>0</v>
      </c>
      <c r="AE27" s="3">
        <f>IF(AND(VLOOKUP(AE$1,test!$A$3:$G$32,5,FALSE)-VLOOKUP($A27,test!$A$3:$G$32,6,FALSE)&gt;=VLOOKUP(VLOOKUP(AE$1, test!$A$3:$G$32,3,FALSE), test!$J$11:$K$14, 2, FALSE)/1440,VLOOKUP($A27,test!$A$3:$F$32,4,FALSE)=VLOOKUP(AE$1,test!$A$3:$F$32,3,FALSE)),1,0)</f>
        <v>0</v>
      </c>
      <c r="AF27" s="3">
        <f>IF(AND(VLOOKUP(AF$1,test!$A$3:$G$32,5,FALSE)-VLOOKUP($A27,test!$A$3:$G$32,6,FALSE)&gt;=VLOOKUP(VLOOKUP(AF$1, test!$A$3:$G$32,3,FALSE), test!$J$11:$K$14, 2, FALSE)/1440,VLOOKUP($A27,test!$A$3:$F$32,4,FALSE)=VLOOKUP(AF$1,test!$A$3:$F$32,3,FALSE)),1,0)</f>
        <v>0</v>
      </c>
    </row>
    <row r="28" spans="1:32" x14ac:dyDescent="0.25">
      <c r="A28" t="s">
        <v>37</v>
      </c>
      <c r="B28" s="4">
        <v>1</v>
      </c>
      <c r="C28" s="3">
        <f>IF(AND(VLOOKUP(C$1,test!$A$3:$G$32,5,FALSE)-VLOOKUP($A28,test!$A$3:$G$32,6,FALSE)&gt;=VLOOKUP(VLOOKUP(C$1, test!$A$3:$G$32,3,FALSE), test!$J$11:$K$14, 2, FALSE)/1440,VLOOKUP($A28,test!$A$3:$F$32,4,FALSE)=VLOOKUP(C$1,test!$A$3:$F$32,3,FALSE)),1,0)</f>
        <v>0</v>
      </c>
      <c r="D28" s="3">
        <f>IF(AND(VLOOKUP(D$1,test!$A$3:$G$32,5,FALSE)-VLOOKUP($A28,test!$A$3:$G$32,6,FALSE)&gt;=VLOOKUP(VLOOKUP(D$1, test!$A$3:$G$32,3,FALSE), test!$J$11:$K$14, 2, FALSE)/1440,VLOOKUP($A28,test!$A$3:$F$32,4,FALSE)=VLOOKUP(D$1,test!$A$3:$F$32,3,FALSE)),1,0)</f>
        <v>0</v>
      </c>
      <c r="E28" s="3">
        <f>IF(AND(VLOOKUP(E$1,test!$A$3:$G$32,5,FALSE)-VLOOKUP($A28,test!$A$3:$G$32,6,FALSE)&gt;=VLOOKUP(VLOOKUP(E$1, test!$A$3:$G$32,3,FALSE), test!$J$11:$K$14, 2, FALSE)/1440,VLOOKUP($A28,test!$A$3:$F$32,4,FALSE)=VLOOKUP(E$1,test!$A$3:$F$32,3,FALSE)),1,0)</f>
        <v>0</v>
      </c>
      <c r="F28" s="3">
        <f>IF(AND(VLOOKUP(F$1,test!$A$3:$G$32,5,FALSE)-VLOOKUP($A28,test!$A$3:$G$32,6,FALSE)&gt;=VLOOKUP(VLOOKUP(F$1, test!$A$3:$G$32,3,FALSE), test!$J$11:$K$14, 2, FALSE)/1440,VLOOKUP($A28,test!$A$3:$F$32,4,FALSE)=VLOOKUP(F$1,test!$A$3:$F$32,3,FALSE)),1,0)</f>
        <v>0</v>
      </c>
      <c r="G28" s="3">
        <f>IF(AND(VLOOKUP(G$1,test!$A$3:$G$32,5,FALSE)-VLOOKUP($A28,test!$A$3:$G$32,6,FALSE)&gt;=VLOOKUP(VLOOKUP(G$1, test!$A$3:$G$32,3,FALSE), test!$J$11:$K$14, 2, FALSE)/1440,VLOOKUP($A28,test!$A$3:$F$32,4,FALSE)=VLOOKUP(G$1,test!$A$3:$F$32,3,FALSE)),1,0)</f>
        <v>0</v>
      </c>
      <c r="H28" s="3">
        <f>IF(AND(VLOOKUP(H$1,test!$A$3:$G$32,5,FALSE)-VLOOKUP($A28,test!$A$3:$G$32,6,FALSE)&gt;=VLOOKUP(VLOOKUP(H$1, test!$A$3:$G$32,3,FALSE), test!$J$11:$K$14, 2, FALSE)/1440,VLOOKUP($A28,test!$A$3:$F$32,4,FALSE)=VLOOKUP(H$1,test!$A$3:$F$32,3,FALSE)),1,0)</f>
        <v>0</v>
      </c>
      <c r="I28" s="3">
        <f>IF(AND(VLOOKUP(I$1,test!$A$3:$G$32,5,FALSE)-VLOOKUP($A28,test!$A$3:$G$32,6,FALSE)&gt;=VLOOKUP(VLOOKUP(I$1, test!$A$3:$G$32,3,FALSE), test!$J$11:$K$14, 2, FALSE)/1440,VLOOKUP($A28,test!$A$3:$F$32,4,FALSE)=VLOOKUP(I$1,test!$A$3:$F$32,3,FALSE)),1,0)</f>
        <v>1</v>
      </c>
      <c r="J28" s="3">
        <f>IF(AND(VLOOKUP(J$1,test!$A$3:$G$32,5,FALSE)-VLOOKUP($A28,test!$A$3:$G$32,6,FALSE)&gt;=VLOOKUP(VLOOKUP(J$1, test!$A$3:$G$32,3,FALSE), test!$J$11:$K$14, 2, FALSE)/1440,VLOOKUP($A28,test!$A$3:$F$32,4,FALSE)=VLOOKUP(J$1,test!$A$3:$F$32,3,FALSE)),1,0)</f>
        <v>1</v>
      </c>
      <c r="K28" s="3">
        <f>IF(AND(VLOOKUP(K$1,test!$A$3:$G$32,5,FALSE)-VLOOKUP($A28,test!$A$3:$G$32,6,FALSE)&gt;=VLOOKUP(VLOOKUP(K$1, test!$A$3:$G$32,3,FALSE), test!$J$11:$K$14, 2, FALSE)/1440,VLOOKUP($A28,test!$A$3:$F$32,4,FALSE)=VLOOKUP(K$1,test!$A$3:$F$32,3,FALSE)),1,0)</f>
        <v>0</v>
      </c>
      <c r="L28" s="3">
        <f>IF(AND(VLOOKUP(L$1,test!$A$3:$G$32,5,FALSE)-VLOOKUP($A28,test!$A$3:$G$32,6,FALSE)&gt;=VLOOKUP(VLOOKUP(L$1, test!$A$3:$G$32,3,FALSE), test!$J$11:$K$14, 2, FALSE)/1440,VLOOKUP($A28,test!$A$3:$F$32,4,FALSE)=VLOOKUP(L$1,test!$A$3:$F$32,3,FALSE)),1,0)</f>
        <v>0</v>
      </c>
      <c r="M28" s="3">
        <f>IF(AND(VLOOKUP(M$1,test!$A$3:$G$32,5,FALSE)-VLOOKUP($A28,test!$A$3:$G$32,6,FALSE)&gt;=VLOOKUP(VLOOKUP(M$1, test!$A$3:$G$32,3,FALSE), test!$J$11:$K$14, 2, FALSE)/1440,VLOOKUP($A28,test!$A$3:$F$32,4,FALSE)=VLOOKUP(M$1,test!$A$3:$F$32,3,FALSE)),1,0)</f>
        <v>0</v>
      </c>
      <c r="N28" s="3">
        <f>IF(AND(VLOOKUP(N$1,test!$A$3:$G$32,5,FALSE)-VLOOKUP($A28,test!$A$3:$G$32,6,FALSE)&gt;=VLOOKUP(VLOOKUP(N$1, test!$A$3:$G$32,3,FALSE), test!$J$11:$K$14, 2, FALSE)/1440,VLOOKUP($A28,test!$A$3:$F$32,4,FALSE)=VLOOKUP(N$1,test!$A$3:$F$32,3,FALSE)),1,0)</f>
        <v>1</v>
      </c>
      <c r="O28" s="3">
        <f>IF(AND(VLOOKUP(O$1,test!$A$3:$G$32,5,FALSE)-VLOOKUP($A28,test!$A$3:$G$32,6,FALSE)&gt;=VLOOKUP(VLOOKUP(O$1, test!$A$3:$G$32,3,FALSE), test!$J$11:$K$14, 2, FALSE)/1440,VLOOKUP($A28,test!$A$3:$F$32,4,FALSE)=VLOOKUP(O$1,test!$A$3:$F$32,3,FALSE)),1,0)</f>
        <v>1</v>
      </c>
      <c r="P28" s="3">
        <f>IF(AND(VLOOKUP(P$1,test!$A$3:$G$32,5,FALSE)-VLOOKUP($A28,test!$A$3:$G$32,6,FALSE)&gt;=VLOOKUP(VLOOKUP(P$1, test!$A$3:$G$32,3,FALSE), test!$J$11:$K$14, 2, FALSE)/1440,VLOOKUP($A28,test!$A$3:$F$32,4,FALSE)=VLOOKUP(P$1,test!$A$3:$F$32,3,FALSE)),1,0)</f>
        <v>0</v>
      </c>
      <c r="Q28" s="3">
        <f>IF(AND(VLOOKUP(Q$1,test!$A$3:$G$32,5,FALSE)-VLOOKUP($A28,test!$A$3:$G$32,6,FALSE)&gt;=VLOOKUP(VLOOKUP(Q$1, test!$A$3:$G$32,3,FALSE), test!$J$11:$K$14, 2, FALSE)/1440,VLOOKUP($A28,test!$A$3:$F$32,4,FALSE)=VLOOKUP(Q$1,test!$A$3:$F$32,3,FALSE)),1,0)</f>
        <v>0</v>
      </c>
      <c r="R28" s="3">
        <f>IF(AND(VLOOKUP(R$1,test!$A$3:$G$32,5,FALSE)-VLOOKUP($A28,test!$A$3:$G$32,6,FALSE)&gt;=VLOOKUP(VLOOKUP(R$1, test!$A$3:$G$32,3,FALSE), test!$J$11:$K$14, 2, FALSE)/1440,VLOOKUP($A28,test!$A$3:$F$32,4,FALSE)=VLOOKUP(R$1,test!$A$3:$F$32,3,FALSE)),1,0)</f>
        <v>0</v>
      </c>
      <c r="S28" s="3">
        <f>IF(AND(VLOOKUP(S$1,test!$A$3:$G$32,5,FALSE)-VLOOKUP($A28,test!$A$3:$G$32,6,FALSE)&gt;=VLOOKUP(VLOOKUP(S$1, test!$A$3:$G$32,3,FALSE), test!$J$11:$K$14, 2, FALSE)/1440,VLOOKUP($A28,test!$A$3:$F$32,4,FALSE)=VLOOKUP(S$1,test!$A$3:$F$32,3,FALSE)),1,0)</f>
        <v>0</v>
      </c>
      <c r="T28" s="3">
        <f>IF(AND(VLOOKUP(T$1,test!$A$3:$G$32,5,FALSE)-VLOOKUP($A28,test!$A$3:$G$32,6,FALSE)&gt;=VLOOKUP(VLOOKUP(T$1, test!$A$3:$G$32,3,FALSE), test!$J$11:$K$14, 2, FALSE)/1440,VLOOKUP($A28,test!$A$3:$F$32,4,FALSE)=VLOOKUP(T$1,test!$A$3:$F$32,3,FALSE)),1,0)</f>
        <v>0</v>
      </c>
      <c r="U28" s="3">
        <f>IF(AND(VLOOKUP(U$1,test!$A$3:$G$32,5,FALSE)-VLOOKUP($A28,test!$A$3:$G$32,6,FALSE)&gt;=VLOOKUP(VLOOKUP(U$1, test!$A$3:$G$32,3,FALSE), test!$J$11:$K$14, 2, FALSE)/1440,VLOOKUP($A28,test!$A$3:$F$32,4,FALSE)=VLOOKUP(U$1,test!$A$3:$F$32,3,FALSE)),1,0)</f>
        <v>0</v>
      </c>
      <c r="V28" s="3">
        <f>IF(AND(VLOOKUP(V$1,test!$A$3:$G$32,5,FALSE)-VLOOKUP($A28,test!$A$3:$G$32,6,FALSE)&gt;=VLOOKUP(VLOOKUP(V$1, test!$A$3:$G$32,3,FALSE), test!$J$11:$K$14, 2, FALSE)/1440,VLOOKUP($A28,test!$A$3:$F$32,4,FALSE)=VLOOKUP(V$1,test!$A$3:$F$32,3,FALSE)),1,0)</f>
        <v>0</v>
      </c>
      <c r="W28" s="3">
        <f>IF(AND(VLOOKUP(W$1,test!$A$3:$G$32,5,FALSE)-VLOOKUP($A28,test!$A$3:$G$32,6,FALSE)&gt;=VLOOKUP(VLOOKUP(W$1, test!$A$3:$G$32,3,FALSE), test!$J$11:$K$14, 2, FALSE)/1440,VLOOKUP($A28,test!$A$3:$F$32,4,FALSE)=VLOOKUP(W$1,test!$A$3:$F$32,3,FALSE)),1,0)</f>
        <v>0</v>
      </c>
      <c r="X28" s="3">
        <f>IF(AND(VLOOKUP(X$1,test!$A$3:$G$32,5,FALSE)-VLOOKUP($A28,test!$A$3:$G$32,6,FALSE)&gt;=VLOOKUP(VLOOKUP(X$1, test!$A$3:$G$32,3,FALSE), test!$J$11:$K$14, 2, FALSE)/1440,VLOOKUP($A28,test!$A$3:$F$32,4,FALSE)=VLOOKUP(X$1,test!$A$3:$F$32,3,FALSE)),1,0)</f>
        <v>0</v>
      </c>
      <c r="Y28" s="3">
        <f>IF(AND(VLOOKUP(Y$1,test!$A$3:$G$32,5,FALSE)-VLOOKUP($A28,test!$A$3:$G$32,6,FALSE)&gt;=VLOOKUP(VLOOKUP(Y$1, test!$A$3:$G$32,3,FALSE), test!$J$11:$K$14, 2, FALSE)/1440,VLOOKUP($A28,test!$A$3:$F$32,4,FALSE)=VLOOKUP(Y$1,test!$A$3:$F$32,3,FALSE)),1,0)</f>
        <v>0</v>
      </c>
      <c r="Z28" s="3">
        <f>IF(AND(VLOOKUP(Z$1,test!$A$3:$G$32,5,FALSE)-VLOOKUP($A28,test!$A$3:$G$32,6,FALSE)&gt;=VLOOKUP(VLOOKUP(Z$1, test!$A$3:$G$32,3,FALSE), test!$J$11:$K$14, 2, FALSE)/1440,VLOOKUP($A28,test!$A$3:$F$32,4,FALSE)=VLOOKUP(Z$1,test!$A$3:$F$32,3,FALSE)),1,0)</f>
        <v>0</v>
      </c>
      <c r="AA28" s="3">
        <f>IF(AND(VLOOKUP(AA$1,test!$A$3:$G$32,5,FALSE)-VLOOKUP($A28,test!$A$3:$G$32,6,FALSE)&gt;=VLOOKUP(VLOOKUP(AA$1, test!$A$3:$G$32,3,FALSE), test!$J$11:$K$14, 2, FALSE)/1440,VLOOKUP($A28,test!$A$3:$F$32,4,FALSE)=VLOOKUP(AA$1,test!$A$3:$F$32,3,FALSE)),1,0)</f>
        <v>0</v>
      </c>
      <c r="AB28" s="3">
        <f>IF(AND(VLOOKUP(AB$1,test!$A$3:$G$32,5,FALSE)-VLOOKUP($A28,test!$A$3:$G$32,6,FALSE)&gt;=VLOOKUP(VLOOKUP(AB$1, test!$A$3:$G$32,3,FALSE), test!$J$11:$K$14, 2, FALSE)/1440,VLOOKUP($A28,test!$A$3:$F$32,4,FALSE)=VLOOKUP(AB$1,test!$A$3:$F$32,3,FALSE)),1,0)</f>
        <v>0</v>
      </c>
      <c r="AC28" s="3">
        <f>IF(AND(VLOOKUP(AC$1,test!$A$3:$G$32,5,FALSE)-VLOOKUP($A28,test!$A$3:$G$32,6,FALSE)&gt;=VLOOKUP(VLOOKUP(AC$1, test!$A$3:$G$32,3,FALSE), test!$J$11:$K$14, 2, FALSE)/1440,VLOOKUP($A28,test!$A$3:$F$32,4,FALSE)=VLOOKUP(AC$1,test!$A$3:$F$32,3,FALSE)),1,0)</f>
        <v>0</v>
      </c>
      <c r="AD28" s="3">
        <f>IF(AND(VLOOKUP(AD$1,test!$A$3:$G$32,5,FALSE)-VLOOKUP($A28,test!$A$3:$G$32,6,FALSE)&gt;=VLOOKUP(VLOOKUP(AD$1, test!$A$3:$G$32,3,FALSE), test!$J$11:$K$14, 2, FALSE)/1440,VLOOKUP($A28,test!$A$3:$F$32,4,FALSE)=VLOOKUP(AD$1,test!$A$3:$F$32,3,FALSE)),1,0)</f>
        <v>0</v>
      </c>
      <c r="AE28" s="3">
        <f>IF(AND(VLOOKUP(AE$1,test!$A$3:$G$32,5,FALSE)-VLOOKUP($A28,test!$A$3:$G$32,6,FALSE)&gt;=VLOOKUP(VLOOKUP(AE$1, test!$A$3:$G$32,3,FALSE), test!$J$11:$K$14, 2, FALSE)/1440,VLOOKUP($A28,test!$A$3:$F$32,4,FALSE)=VLOOKUP(AE$1,test!$A$3:$F$32,3,FALSE)),1,0)</f>
        <v>0</v>
      </c>
      <c r="AF28" s="3">
        <f>IF(AND(VLOOKUP(AF$1,test!$A$3:$G$32,5,FALSE)-VLOOKUP($A28,test!$A$3:$G$32,6,FALSE)&gt;=VLOOKUP(VLOOKUP(AF$1, test!$A$3:$G$32,3,FALSE), test!$J$11:$K$14, 2, FALSE)/1440,VLOOKUP($A28,test!$A$3:$F$32,4,FALSE)=VLOOKUP(AF$1,test!$A$3:$F$32,3,FALSE)),1,0)</f>
        <v>0</v>
      </c>
    </row>
    <row r="29" spans="1:32" x14ac:dyDescent="0.25">
      <c r="A29" t="s">
        <v>38</v>
      </c>
      <c r="B29" s="4">
        <v>1</v>
      </c>
      <c r="C29" s="3">
        <f>IF(AND(VLOOKUP(C$1,test!$A$3:$G$32,5,FALSE)-VLOOKUP($A29,test!$A$3:$G$32,6,FALSE)&gt;=VLOOKUP(VLOOKUP(C$1, test!$A$3:$G$32,3,FALSE), test!$J$11:$K$14, 2, FALSE)/1440,VLOOKUP($A29,test!$A$3:$F$32,4,FALSE)=VLOOKUP(C$1,test!$A$3:$F$32,3,FALSE)),1,0)</f>
        <v>0</v>
      </c>
      <c r="D29" s="3">
        <f>IF(AND(VLOOKUP(D$1,test!$A$3:$G$32,5,FALSE)-VLOOKUP($A29,test!$A$3:$G$32,6,FALSE)&gt;=VLOOKUP(VLOOKUP(D$1, test!$A$3:$G$32,3,FALSE), test!$J$11:$K$14, 2, FALSE)/1440,VLOOKUP($A29,test!$A$3:$F$32,4,FALSE)=VLOOKUP(D$1,test!$A$3:$F$32,3,FALSE)),1,0)</f>
        <v>0</v>
      </c>
      <c r="E29" s="3">
        <f>IF(AND(VLOOKUP(E$1,test!$A$3:$G$32,5,FALSE)-VLOOKUP($A29,test!$A$3:$G$32,6,FALSE)&gt;=VLOOKUP(VLOOKUP(E$1, test!$A$3:$G$32,3,FALSE), test!$J$11:$K$14, 2, FALSE)/1440,VLOOKUP($A29,test!$A$3:$F$32,4,FALSE)=VLOOKUP(E$1,test!$A$3:$F$32,3,FALSE)),1,0)</f>
        <v>0</v>
      </c>
      <c r="F29" s="3">
        <f>IF(AND(VLOOKUP(F$1,test!$A$3:$G$32,5,FALSE)-VLOOKUP($A29,test!$A$3:$G$32,6,FALSE)&gt;=VLOOKUP(VLOOKUP(F$1, test!$A$3:$G$32,3,FALSE), test!$J$11:$K$14, 2, FALSE)/1440,VLOOKUP($A29,test!$A$3:$F$32,4,FALSE)=VLOOKUP(F$1,test!$A$3:$F$32,3,FALSE)),1,0)</f>
        <v>0</v>
      </c>
      <c r="G29" s="3">
        <f>IF(AND(VLOOKUP(G$1,test!$A$3:$G$32,5,FALSE)-VLOOKUP($A29,test!$A$3:$G$32,6,FALSE)&gt;=VLOOKUP(VLOOKUP(G$1, test!$A$3:$G$32,3,FALSE), test!$J$11:$K$14, 2, FALSE)/1440,VLOOKUP($A29,test!$A$3:$F$32,4,FALSE)=VLOOKUP(G$1,test!$A$3:$F$32,3,FALSE)),1,0)</f>
        <v>0</v>
      </c>
      <c r="H29" s="3">
        <f>IF(AND(VLOOKUP(H$1,test!$A$3:$G$32,5,FALSE)-VLOOKUP($A29,test!$A$3:$G$32,6,FALSE)&gt;=VLOOKUP(VLOOKUP(H$1, test!$A$3:$G$32,3,FALSE), test!$J$11:$K$14, 2, FALSE)/1440,VLOOKUP($A29,test!$A$3:$F$32,4,FALSE)=VLOOKUP(H$1,test!$A$3:$F$32,3,FALSE)),1,0)</f>
        <v>0</v>
      </c>
      <c r="I29" s="3">
        <f>IF(AND(VLOOKUP(I$1,test!$A$3:$G$32,5,FALSE)-VLOOKUP($A29,test!$A$3:$G$32,6,FALSE)&gt;=VLOOKUP(VLOOKUP(I$1, test!$A$3:$G$32,3,FALSE), test!$J$11:$K$14, 2, FALSE)/1440,VLOOKUP($A29,test!$A$3:$F$32,4,FALSE)=VLOOKUP(I$1,test!$A$3:$F$32,3,FALSE)),1,0)</f>
        <v>0</v>
      </c>
      <c r="J29" s="3">
        <f>IF(AND(VLOOKUP(J$1,test!$A$3:$G$32,5,FALSE)-VLOOKUP($A29,test!$A$3:$G$32,6,FALSE)&gt;=VLOOKUP(VLOOKUP(J$1, test!$A$3:$G$32,3,FALSE), test!$J$11:$K$14, 2, FALSE)/1440,VLOOKUP($A29,test!$A$3:$F$32,4,FALSE)=VLOOKUP(J$1,test!$A$3:$F$32,3,FALSE)),1,0)</f>
        <v>0</v>
      </c>
      <c r="K29" s="3">
        <f>IF(AND(VLOOKUP(K$1,test!$A$3:$G$32,5,FALSE)-VLOOKUP($A29,test!$A$3:$G$32,6,FALSE)&gt;=VLOOKUP(VLOOKUP(K$1, test!$A$3:$G$32,3,FALSE), test!$J$11:$K$14, 2, FALSE)/1440,VLOOKUP($A29,test!$A$3:$F$32,4,FALSE)=VLOOKUP(K$1,test!$A$3:$F$32,3,FALSE)),1,0)</f>
        <v>0</v>
      </c>
      <c r="L29" s="3">
        <f>IF(AND(VLOOKUP(L$1,test!$A$3:$G$32,5,FALSE)-VLOOKUP($A29,test!$A$3:$G$32,6,FALSE)&gt;=VLOOKUP(VLOOKUP(L$1, test!$A$3:$G$32,3,FALSE), test!$J$11:$K$14, 2, FALSE)/1440,VLOOKUP($A29,test!$A$3:$F$32,4,FALSE)=VLOOKUP(L$1,test!$A$3:$F$32,3,FALSE)),1,0)</f>
        <v>0</v>
      </c>
      <c r="M29" s="3">
        <f>IF(AND(VLOOKUP(M$1,test!$A$3:$G$32,5,FALSE)-VLOOKUP($A29,test!$A$3:$G$32,6,FALSE)&gt;=VLOOKUP(VLOOKUP(M$1, test!$A$3:$G$32,3,FALSE), test!$J$11:$K$14, 2, FALSE)/1440,VLOOKUP($A29,test!$A$3:$F$32,4,FALSE)=VLOOKUP(M$1,test!$A$3:$F$32,3,FALSE)),1,0)</f>
        <v>0</v>
      </c>
      <c r="N29" s="3">
        <f>IF(AND(VLOOKUP(N$1,test!$A$3:$G$32,5,FALSE)-VLOOKUP($A29,test!$A$3:$G$32,6,FALSE)&gt;=VLOOKUP(VLOOKUP(N$1, test!$A$3:$G$32,3,FALSE), test!$J$11:$K$14, 2, FALSE)/1440,VLOOKUP($A29,test!$A$3:$F$32,4,FALSE)=VLOOKUP(N$1,test!$A$3:$F$32,3,FALSE)),1,0)</f>
        <v>0</v>
      </c>
      <c r="O29" s="3">
        <f>IF(AND(VLOOKUP(O$1,test!$A$3:$G$32,5,FALSE)-VLOOKUP($A29,test!$A$3:$G$32,6,FALSE)&gt;=VLOOKUP(VLOOKUP(O$1, test!$A$3:$G$32,3,FALSE), test!$J$11:$K$14, 2, FALSE)/1440,VLOOKUP($A29,test!$A$3:$F$32,4,FALSE)=VLOOKUP(O$1,test!$A$3:$F$32,3,FALSE)),1,0)</f>
        <v>1</v>
      </c>
      <c r="P29" s="3">
        <f>IF(AND(VLOOKUP(P$1,test!$A$3:$G$32,5,FALSE)-VLOOKUP($A29,test!$A$3:$G$32,6,FALSE)&gt;=VLOOKUP(VLOOKUP(P$1, test!$A$3:$G$32,3,FALSE), test!$J$11:$K$14, 2, FALSE)/1440,VLOOKUP($A29,test!$A$3:$F$32,4,FALSE)=VLOOKUP(P$1,test!$A$3:$F$32,3,FALSE)),1,0)</f>
        <v>0</v>
      </c>
      <c r="Q29" s="3">
        <f>IF(AND(VLOOKUP(Q$1,test!$A$3:$G$32,5,FALSE)-VLOOKUP($A29,test!$A$3:$G$32,6,FALSE)&gt;=VLOOKUP(VLOOKUP(Q$1, test!$A$3:$G$32,3,FALSE), test!$J$11:$K$14, 2, FALSE)/1440,VLOOKUP($A29,test!$A$3:$F$32,4,FALSE)=VLOOKUP(Q$1,test!$A$3:$F$32,3,FALSE)),1,0)</f>
        <v>0</v>
      </c>
      <c r="R29" s="3">
        <f>IF(AND(VLOOKUP(R$1,test!$A$3:$G$32,5,FALSE)-VLOOKUP($A29,test!$A$3:$G$32,6,FALSE)&gt;=VLOOKUP(VLOOKUP(R$1, test!$A$3:$G$32,3,FALSE), test!$J$11:$K$14, 2, FALSE)/1440,VLOOKUP($A29,test!$A$3:$F$32,4,FALSE)=VLOOKUP(R$1,test!$A$3:$F$32,3,FALSE)),1,0)</f>
        <v>0</v>
      </c>
      <c r="S29" s="3">
        <f>IF(AND(VLOOKUP(S$1,test!$A$3:$G$32,5,FALSE)-VLOOKUP($A29,test!$A$3:$G$32,6,FALSE)&gt;=VLOOKUP(VLOOKUP(S$1, test!$A$3:$G$32,3,FALSE), test!$J$11:$K$14, 2, FALSE)/1440,VLOOKUP($A29,test!$A$3:$F$32,4,FALSE)=VLOOKUP(S$1,test!$A$3:$F$32,3,FALSE)),1,0)</f>
        <v>0</v>
      </c>
      <c r="T29" s="3">
        <f>IF(AND(VLOOKUP(T$1,test!$A$3:$G$32,5,FALSE)-VLOOKUP($A29,test!$A$3:$G$32,6,FALSE)&gt;=VLOOKUP(VLOOKUP(T$1, test!$A$3:$G$32,3,FALSE), test!$J$11:$K$14, 2, FALSE)/1440,VLOOKUP($A29,test!$A$3:$F$32,4,FALSE)=VLOOKUP(T$1,test!$A$3:$F$32,3,FALSE)),1,0)</f>
        <v>0</v>
      </c>
      <c r="U29" s="3">
        <f>IF(AND(VLOOKUP(U$1,test!$A$3:$G$32,5,FALSE)-VLOOKUP($A29,test!$A$3:$G$32,6,FALSE)&gt;=VLOOKUP(VLOOKUP(U$1, test!$A$3:$G$32,3,FALSE), test!$J$11:$K$14, 2, FALSE)/1440,VLOOKUP($A29,test!$A$3:$F$32,4,FALSE)=VLOOKUP(U$1,test!$A$3:$F$32,3,FALSE)),1,0)</f>
        <v>0</v>
      </c>
      <c r="V29" s="3">
        <f>IF(AND(VLOOKUP(V$1,test!$A$3:$G$32,5,FALSE)-VLOOKUP($A29,test!$A$3:$G$32,6,FALSE)&gt;=VLOOKUP(VLOOKUP(V$1, test!$A$3:$G$32,3,FALSE), test!$J$11:$K$14, 2, FALSE)/1440,VLOOKUP($A29,test!$A$3:$F$32,4,FALSE)=VLOOKUP(V$1,test!$A$3:$F$32,3,FALSE)),1,0)</f>
        <v>0</v>
      </c>
      <c r="W29" s="3">
        <f>IF(AND(VLOOKUP(W$1,test!$A$3:$G$32,5,FALSE)-VLOOKUP($A29,test!$A$3:$G$32,6,FALSE)&gt;=VLOOKUP(VLOOKUP(W$1, test!$A$3:$G$32,3,FALSE), test!$J$11:$K$14, 2, FALSE)/1440,VLOOKUP($A29,test!$A$3:$F$32,4,FALSE)=VLOOKUP(W$1,test!$A$3:$F$32,3,FALSE)),1,0)</f>
        <v>0</v>
      </c>
      <c r="X29" s="3">
        <f>IF(AND(VLOOKUP(X$1,test!$A$3:$G$32,5,FALSE)-VLOOKUP($A29,test!$A$3:$G$32,6,FALSE)&gt;=VLOOKUP(VLOOKUP(X$1, test!$A$3:$G$32,3,FALSE), test!$J$11:$K$14, 2, FALSE)/1440,VLOOKUP($A29,test!$A$3:$F$32,4,FALSE)=VLOOKUP(X$1,test!$A$3:$F$32,3,FALSE)),1,0)</f>
        <v>0</v>
      </c>
      <c r="Y29" s="3">
        <f>IF(AND(VLOOKUP(Y$1,test!$A$3:$G$32,5,FALSE)-VLOOKUP($A29,test!$A$3:$G$32,6,FALSE)&gt;=VLOOKUP(VLOOKUP(Y$1, test!$A$3:$G$32,3,FALSE), test!$J$11:$K$14, 2, FALSE)/1440,VLOOKUP($A29,test!$A$3:$F$32,4,FALSE)=VLOOKUP(Y$1,test!$A$3:$F$32,3,FALSE)),1,0)</f>
        <v>0</v>
      </c>
      <c r="Z29" s="3">
        <f>IF(AND(VLOOKUP(Z$1,test!$A$3:$G$32,5,FALSE)-VLOOKUP($A29,test!$A$3:$G$32,6,FALSE)&gt;=VLOOKUP(VLOOKUP(Z$1, test!$A$3:$G$32,3,FALSE), test!$J$11:$K$14, 2, FALSE)/1440,VLOOKUP($A29,test!$A$3:$F$32,4,FALSE)=VLOOKUP(Z$1,test!$A$3:$F$32,3,FALSE)),1,0)</f>
        <v>0</v>
      </c>
      <c r="AA29" s="3">
        <f>IF(AND(VLOOKUP(AA$1,test!$A$3:$G$32,5,FALSE)-VLOOKUP($A29,test!$A$3:$G$32,6,FALSE)&gt;=VLOOKUP(VLOOKUP(AA$1, test!$A$3:$G$32,3,FALSE), test!$J$11:$K$14, 2, FALSE)/1440,VLOOKUP($A29,test!$A$3:$F$32,4,FALSE)=VLOOKUP(AA$1,test!$A$3:$F$32,3,FALSE)),1,0)</f>
        <v>0</v>
      </c>
      <c r="AB29" s="3">
        <f>IF(AND(VLOOKUP(AB$1,test!$A$3:$G$32,5,FALSE)-VLOOKUP($A29,test!$A$3:$G$32,6,FALSE)&gt;=VLOOKUP(VLOOKUP(AB$1, test!$A$3:$G$32,3,FALSE), test!$J$11:$K$14, 2, FALSE)/1440,VLOOKUP($A29,test!$A$3:$F$32,4,FALSE)=VLOOKUP(AB$1,test!$A$3:$F$32,3,FALSE)),1,0)</f>
        <v>0</v>
      </c>
      <c r="AC29" s="3">
        <f>IF(AND(VLOOKUP(AC$1,test!$A$3:$G$32,5,FALSE)-VLOOKUP($A29,test!$A$3:$G$32,6,FALSE)&gt;=VLOOKUP(VLOOKUP(AC$1, test!$A$3:$G$32,3,FALSE), test!$J$11:$K$14, 2, FALSE)/1440,VLOOKUP($A29,test!$A$3:$F$32,4,FALSE)=VLOOKUP(AC$1,test!$A$3:$F$32,3,FALSE)),1,0)</f>
        <v>0</v>
      </c>
      <c r="AD29" s="3">
        <f>IF(AND(VLOOKUP(AD$1,test!$A$3:$G$32,5,FALSE)-VLOOKUP($A29,test!$A$3:$G$32,6,FALSE)&gt;=VLOOKUP(VLOOKUP(AD$1, test!$A$3:$G$32,3,FALSE), test!$J$11:$K$14, 2, FALSE)/1440,VLOOKUP($A29,test!$A$3:$F$32,4,FALSE)=VLOOKUP(AD$1,test!$A$3:$F$32,3,FALSE)),1,0)</f>
        <v>0</v>
      </c>
      <c r="AE29" s="3">
        <f>IF(AND(VLOOKUP(AE$1,test!$A$3:$G$32,5,FALSE)-VLOOKUP($A29,test!$A$3:$G$32,6,FALSE)&gt;=VLOOKUP(VLOOKUP(AE$1, test!$A$3:$G$32,3,FALSE), test!$J$11:$K$14, 2, FALSE)/1440,VLOOKUP($A29,test!$A$3:$F$32,4,FALSE)=VLOOKUP(AE$1,test!$A$3:$F$32,3,FALSE)),1,0)</f>
        <v>0</v>
      </c>
      <c r="AF29" s="3">
        <f>IF(AND(VLOOKUP(AF$1,test!$A$3:$G$32,5,FALSE)-VLOOKUP($A29,test!$A$3:$G$32,6,FALSE)&gt;=VLOOKUP(VLOOKUP(AF$1, test!$A$3:$G$32,3,FALSE), test!$J$11:$K$14, 2, FALSE)/1440,VLOOKUP($A29,test!$A$3:$F$32,4,FALSE)=VLOOKUP(AF$1,test!$A$3:$F$32,3,FALSE)),1,0)</f>
        <v>0</v>
      </c>
    </row>
    <row r="30" spans="1:32" x14ac:dyDescent="0.25">
      <c r="A30" t="s">
        <v>39</v>
      </c>
      <c r="B30" s="4">
        <v>1</v>
      </c>
      <c r="C30" s="3">
        <f>IF(AND(VLOOKUP(C$1,test!$A$3:$G$32,5,FALSE)-VLOOKUP($A30,test!$A$3:$G$32,6,FALSE)&gt;=VLOOKUP(VLOOKUP(C$1, test!$A$3:$G$32,3,FALSE), test!$J$11:$K$14, 2, FALSE)/1440,VLOOKUP($A30,test!$A$3:$F$32,4,FALSE)=VLOOKUP(C$1,test!$A$3:$F$32,3,FALSE)),1,0)</f>
        <v>0</v>
      </c>
      <c r="D30" s="3">
        <f>IF(AND(VLOOKUP(D$1,test!$A$3:$G$32,5,FALSE)-VLOOKUP($A30,test!$A$3:$G$32,6,FALSE)&gt;=VLOOKUP(VLOOKUP(D$1, test!$A$3:$G$32,3,FALSE), test!$J$11:$K$14, 2, FALSE)/1440,VLOOKUP($A30,test!$A$3:$F$32,4,FALSE)=VLOOKUP(D$1,test!$A$3:$F$32,3,FALSE)),1,0)</f>
        <v>0</v>
      </c>
      <c r="E30" s="3">
        <f>IF(AND(VLOOKUP(E$1,test!$A$3:$G$32,5,FALSE)-VLOOKUP($A30,test!$A$3:$G$32,6,FALSE)&gt;=VLOOKUP(VLOOKUP(E$1, test!$A$3:$G$32,3,FALSE), test!$J$11:$K$14, 2, FALSE)/1440,VLOOKUP($A30,test!$A$3:$F$32,4,FALSE)=VLOOKUP(E$1,test!$A$3:$F$32,3,FALSE)),1,0)</f>
        <v>0</v>
      </c>
      <c r="F30" s="3">
        <f>IF(AND(VLOOKUP(F$1,test!$A$3:$G$32,5,FALSE)-VLOOKUP($A30,test!$A$3:$G$32,6,FALSE)&gt;=VLOOKUP(VLOOKUP(F$1, test!$A$3:$G$32,3,FALSE), test!$J$11:$K$14, 2, FALSE)/1440,VLOOKUP($A30,test!$A$3:$F$32,4,FALSE)=VLOOKUP(F$1,test!$A$3:$F$32,3,FALSE)),1,0)</f>
        <v>0</v>
      </c>
      <c r="G30" s="3">
        <f>IF(AND(VLOOKUP(G$1,test!$A$3:$G$32,5,FALSE)-VLOOKUP($A30,test!$A$3:$G$32,6,FALSE)&gt;=VLOOKUP(VLOOKUP(G$1, test!$A$3:$G$32,3,FALSE), test!$J$11:$K$14, 2, FALSE)/1440,VLOOKUP($A30,test!$A$3:$F$32,4,FALSE)=VLOOKUP(G$1,test!$A$3:$F$32,3,FALSE)),1,0)</f>
        <v>0</v>
      </c>
      <c r="H30" s="3">
        <f>IF(AND(VLOOKUP(H$1,test!$A$3:$G$32,5,FALSE)-VLOOKUP($A30,test!$A$3:$G$32,6,FALSE)&gt;=VLOOKUP(VLOOKUP(H$1, test!$A$3:$G$32,3,FALSE), test!$J$11:$K$14, 2, FALSE)/1440,VLOOKUP($A30,test!$A$3:$F$32,4,FALSE)=VLOOKUP(H$1,test!$A$3:$F$32,3,FALSE)),1,0)</f>
        <v>0</v>
      </c>
      <c r="I30" s="3">
        <f>IF(AND(VLOOKUP(I$1,test!$A$3:$G$32,5,FALSE)-VLOOKUP($A30,test!$A$3:$G$32,6,FALSE)&gt;=VLOOKUP(VLOOKUP(I$1, test!$A$3:$G$32,3,FALSE), test!$J$11:$K$14, 2, FALSE)/1440,VLOOKUP($A30,test!$A$3:$F$32,4,FALSE)=VLOOKUP(I$1,test!$A$3:$F$32,3,FALSE)),1,0)</f>
        <v>0</v>
      </c>
      <c r="J30" s="3">
        <f>IF(AND(VLOOKUP(J$1,test!$A$3:$G$32,5,FALSE)-VLOOKUP($A30,test!$A$3:$G$32,6,FALSE)&gt;=VLOOKUP(VLOOKUP(J$1, test!$A$3:$G$32,3,FALSE), test!$J$11:$K$14, 2, FALSE)/1440,VLOOKUP($A30,test!$A$3:$F$32,4,FALSE)=VLOOKUP(J$1,test!$A$3:$F$32,3,FALSE)),1,0)</f>
        <v>0</v>
      </c>
      <c r="K30" s="3">
        <f>IF(AND(VLOOKUP(K$1,test!$A$3:$G$32,5,FALSE)-VLOOKUP($A30,test!$A$3:$G$32,6,FALSE)&gt;=VLOOKUP(VLOOKUP(K$1, test!$A$3:$G$32,3,FALSE), test!$J$11:$K$14, 2, FALSE)/1440,VLOOKUP($A30,test!$A$3:$F$32,4,FALSE)=VLOOKUP(K$1,test!$A$3:$F$32,3,FALSE)),1,0)</f>
        <v>0</v>
      </c>
      <c r="L30" s="3">
        <f>IF(AND(VLOOKUP(L$1,test!$A$3:$G$32,5,FALSE)-VLOOKUP($A30,test!$A$3:$G$32,6,FALSE)&gt;=VLOOKUP(VLOOKUP(L$1, test!$A$3:$G$32,3,FALSE), test!$J$11:$K$14, 2, FALSE)/1440,VLOOKUP($A30,test!$A$3:$F$32,4,FALSE)=VLOOKUP(L$1,test!$A$3:$F$32,3,FALSE)),1,0)</f>
        <v>0</v>
      </c>
      <c r="M30" s="3">
        <f>IF(AND(VLOOKUP(M$1,test!$A$3:$G$32,5,FALSE)-VLOOKUP($A30,test!$A$3:$G$32,6,FALSE)&gt;=VLOOKUP(VLOOKUP(M$1, test!$A$3:$G$32,3,FALSE), test!$J$11:$K$14, 2, FALSE)/1440,VLOOKUP($A30,test!$A$3:$F$32,4,FALSE)=VLOOKUP(M$1,test!$A$3:$F$32,3,FALSE)),1,0)</f>
        <v>0</v>
      </c>
      <c r="N30" s="3">
        <f>IF(AND(VLOOKUP(N$1,test!$A$3:$G$32,5,FALSE)-VLOOKUP($A30,test!$A$3:$G$32,6,FALSE)&gt;=VLOOKUP(VLOOKUP(N$1, test!$A$3:$G$32,3,FALSE), test!$J$11:$K$14, 2, FALSE)/1440,VLOOKUP($A30,test!$A$3:$F$32,4,FALSE)=VLOOKUP(N$1,test!$A$3:$F$32,3,FALSE)),1,0)</f>
        <v>0</v>
      </c>
      <c r="O30" s="3">
        <f>IF(AND(VLOOKUP(O$1,test!$A$3:$G$32,5,FALSE)-VLOOKUP($A30,test!$A$3:$G$32,6,FALSE)&gt;=VLOOKUP(VLOOKUP(O$1, test!$A$3:$G$32,3,FALSE), test!$J$11:$K$14, 2, FALSE)/1440,VLOOKUP($A30,test!$A$3:$F$32,4,FALSE)=VLOOKUP(O$1,test!$A$3:$F$32,3,FALSE)),1,0)</f>
        <v>0</v>
      </c>
      <c r="P30" s="3">
        <f>IF(AND(VLOOKUP(P$1,test!$A$3:$G$32,5,FALSE)-VLOOKUP($A30,test!$A$3:$G$32,6,FALSE)&gt;=VLOOKUP(VLOOKUP(P$1, test!$A$3:$G$32,3,FALSE), test!$J$11:$K$14, 2, FALSE)/1440,VLOOKUP($A30,test!$A$3:$F$32,4,FALSE)=VLOOKUP(P$1,test!$A$3:$F$32,3,FALSE)),1,0)</f>
        <v>0</v>
      </c>
      <c r="Q30" s="3">
        <f>IF(AND(VLOOKUP(Q$1,test!$A$3:$G$32,5,FALSE)-VLOOKUP($A30,test!$A$3:$G$32,6,FALSE)&gt;=VLOOKUP(VLOOKUP(Q$1, test!$A$3:$G$32,3,FALSE), test!$J$11:$K$14, 2, FALSE)/1440,VLOOKUP($A30,test!$A$3:$F$32,4,FALSE)=VLOOKUP(Q$1,test!$A$3:$F$32,3,FALSE)),1,0)</f>
        <v>0</v>
      </c>
      <c r="R30" s="3">
        <f>IF(AND(VLOOKUP(R$1,test!$A$3:$G$32,5,FALSE)-VLOOKUP($A30,test!$A$3:$G$32,6,FALSE)&gt;=VLOOKUP(VLOOKUP(R$1, test!$A$3:$G$32,3,FALSE), test!$J$11:$K$14, 2, FALSE)/1440,VLOOKUP($A30,test!$A$3:$F$32,4,FALSE)=VLOOKUP(R$1,test!$A$3:$F$32,3,FALSE)),1,0)</f>
        <v>0</v>
      </c>
      <c r="S30" s="3">
        <f>IF(AND(VLOOKUP(S$1,test!$A$3:$G$32,5,FALSE)-VLOOKUP($A30,test!$A$3:$G$32,6,FALSE)&gt;=VLOOKUP(VLOOKUP(S$1, test!$A$3:$G$32,3,FALSE), test!$J$11:$K$14, 2, FALSE)/1440,VLOOKUP($A30,test!$A$3:$F$32,4,FALSE)=VLOOKUP(S$1,test!$A$3:$F$32,3,FALSE)),1,0)</f>
        <v>0</v>
      </c>
      <c r="T30" s="3">
        <f>IF(AND(VLOOKUP(T$1,test!$A$3:$G$32,5,FALSE)-VLOOKUP($A30,test!$A$3:$G$32,6,FALSE)&gt;=VLOOKUP(VLOOKUP(T$1, test!$A$3:$G$32,3,FALSE), test!$J$11:$K$14, 2, FALSE)/1440,VLOOKUP($A30,test!$A$3:$F$32,4,FALSE)=VLOOKUP(T$1,test!$A$3:$F$32,3,FALSE)),1,0)</f>
        <v>0</v>
      </c>
      <c r="U30" s="3">
        <f>IF(AND(VLOOKUP(U$1,test!$A$3:$G$32,5,FALSE)-VLOOKUP($A30,test!$A$3:$G$32,6,FALSE)&gt;=VLOOKUP(VLOOKUP(U$1, test!$A$3:$G$32,3,FALSE), test!$J$11:$K$14, 2, FALSE)/1440,VLOOKUP($A30,test!$A$3:$F$32,4,FALSE)=VLOOKUP(U$1,test!$A$3:$F$32,3,FALSE)),1,0)</f>
        <v>0</v>
      </c>
      <c r="V30" s="3">
        <f>IF(AND(VLOOKUP(V$1,test!$A$3:$G$32,5,FALSE)-VLOOKUP($A30,test!$A$3:$G$32,6,FALSE)&gt;=VLOOKUP(VLOOKUP(V$1, test!$A$3:$G$32,3,FALSE), test!$J$11:$K$14, 2, FALSE)/1440,VLOOKUP($A30,test!$A$3:$F$32,4,FALSE)=VLOOKUP(V$1,test!$A$3:$F$32,3,FALSE)),1,0)</f>
        <v>0</v>
      </c>
      <c r="W30" s="3">
        <f>IF(AND(VLOOKUP(W$1,test!$A$3:$G$32,5,FALSE)-VLOOKUP($A30,test!$A$3:$G$32,6,FALSE)&gt;=VLOOKUP(VLOOKUP(W$1, test!$A$3:$G$32,3,FALSE), test!$J$11:$K$14, 2, FALSE)/1440,VLOOKUP($A30,test!$A$3:$F$32,4,FALSE)=VLOOKUP(W$1,test!$A$3:$F$32,3,FALSE)),1,0)</f>
        <v>0</v>
      </c>
      <c r="X30" s="3">
        <f>IF(AND(VLOOKUP(X$1,test!$A$3:$G$32,5,FALSE)-VLOOKUP($A30,test!$A$3:$G$32,6,FALSE)&gt;=VLOOKUP(VLOOKUP(X$1, test!$A$3:$G$32,3,FALSE), test!$J$11:$K$14, 2, FALSE)/1440,VLOOKUP($A30,test!$A$3:$F$32,4,FALSE)=VLOOKUP(X$1,test!$A$3:$F$32,3,FALSE)),1,0)</f>
        <v>0</v>
      </c>
      <c r="Y30" s="3">
        <f>IF(AND(VLOOKUP(Y$1,test!$A$3:$G$32,5,FALSE)-VLOOKUP($A30,test!$A$3:$G$32,6,FALSE)&gt;=VLOOKUP(VLOOKUP(Y$1, test!$A$3:$G$32,3,FALSE), test!$J$11:$K$14, 2, FALSE)/1440,VLOOKUP($A30,test!$A$3:$F$32,4,FALSE)=VLOOKUP(Y$1,test!$A$3:$F$32,3,FALSE)),1,0)</f>
        <v>0</v>
      </c>
      <c r="Z30" s="3">
        <f>IF(AND(VLOOKUP(Z$1,test!$A$3:$G$32,5,FALSE)-VLOOKUP($A30,test!$A$3:$G$32,6,FALSE)&gt;=VLOOKUP(VLOOKUP(Z$1, test!$A$3:$G$32,3,FALSE), test!$J$11:$K$14, 2, FALSE)/1440,VLOOKUP($A30,test!$A$3:$F$32,4,FALSE)=VLOOKUP(Z$1,test!$A$3:$F$32,3,FALSE)),1,0)</f>
        <v>0</v>
      </c>
      <c r="AA30" s="3">
        <f>IF(AND(VLOOKUP(AA$1,test!$A$3:$G$32,5,FALSE)-VLOOKUP($A30,test!$A$3:$G$32,6,FALSE)&gt;=VLOOKUP(VLOOKUP(AA$1, test!$A$3:$G$32,3,FALSE), test!$J$11:$K$14, 2, FALSE)/1440,VLOOKUP($A30,test!$A$3:$F$32,4,FALSE)=VLOOKUP(AA$1,test!$A$3:$F$32,3,FALSE)),1,0)</f>
        <v>0</v>
      </c>
      <c r="AB30" s="3">
        <f>IF(AND(VLOOKUP(AB$1,test!$A$3:$G$32,5,FALSE)-VLOOKUP($A30,test!$A$3:$G$32,6,FALSE)&gt;=VLOOKUP(VLOOKUP(AB$1, test!$A$3:$G$32,3,FALSE), test!$J$11:$K$14, 2, FALSE)/1440,VLOOKUP($A30,test!$A$3:$F$32,4,FALSE)=VLOOKUP(AB$1,test!$A$3:$F$32,3,FALSE)),1,0)</f>
        <v>0</v>
      </c>
      <c r="AC30" s="3">
        <f>IF(AND(VLOOKUP(AC$1,test!$A$3:$G$32,5,FALSE)-VLOOKUP($A30,test!$A$3:$G$32,6,FALSE)&gt;=VLOOKUP(VLOOKUP(AC$1, test!$A$3:$G$32,3,FALSE), test!$J$11:$K$14, 2, FALSE)/1440,VLOOKUP($A30,test!$A$3:$F$32,4,FALSE)=VLOOKUP(AC$1,test!$A$3:$F$32,3,FALSE)),1,0)</f>
        <v>0</v>
      </c>
      <c r="AD30" s="3">
        <f>IF(AND(VLOOKUP(AD$1,test!$A$3:$G$32,5,FALSE)-VLOOKUP($A30,test!$A$3:$G$32,6,FALSE)&gt;=VLOOKUP(VLOOKUP(AD$1, test!$A$3:$G$32,3,FALSE), test!$J$11:$K$14, 2, FALSE)/1440,VLOOKUP($A30,test!$A$3:$F$32,4,FALSE)=VLOOKUP(AD$1,test!$A$3:$F$32,3,FALSE)),1,0)</f>
        <v>0</v>
      </c>
      <c r="AE30" s="3">
        <f>IF(AND(VLOOKUP(AE$1,test!$A$3:$G$32,5,FALSE)-VLOOKUP($A30,test!$A$3:$G$32,6,FALSE)&gt;=VLOOKUP(VLOOKUP(AE$1, test!$A$3:$G$32,3,FALSE), test!$J$11:$K$14, 2, FALSE)/1440,VLOOKUP($A30,test!$A$3:$F$32,4,FALSE)=VLOOKUP(AE$1,test!$A$3:$F$32,3,FALSE)),1,0)</f>
        <v>1</v>
      </c>
      <c r="AF30" s="3">
        <f>IF(AND(VLOOKUP(AF$1,test!$A$3:$G$32,5,FALSE)-VLOOKUP($A30,test!$A$3:$G$32,6,FALSE)&gt;=VLOOKUP(VLOOKUP(AF$1, test!$A$3:$G$32,3,FALSE), test!$J$11:$K$14, 2, FALSE)/1440,VLOOKUP($A30,test!$A$3:$F$32,4,FALSE)=VLOOKUP(AF$1,test!$A$3:$F$32,3,FALSE)),1,0)</f>
        <v>1</v>
      </c>
    </row>
    <row r="31" spans="1:32" x14ac:dyDescent="0.25">
      <c r="A31" t="s">
        <v>40</v>
      </c>
      <c r="B31" s="4">
        <v>1</v>
      </c>
      <c r="C31" s="3">
        <f>IF(AND(VLOOKUP(C$1,test!$A$3:$G$32,5,FALSE)-VLOOKUP($A31,test!$A$3:$G$32,6,FALSE)&gt;=VLOOKUP(VLOOKUP(C$1, test!$A$3:$G$32,3,FALSE), test!$J$11:$K$14, 2, FALSE)/1440,VLOOKUP($A31,test!$A$3:$F$32,4,FALSE)=VLOOKUP(C$1,test!$A$3:$F$32,3,FALSE)),1,0)</f>
        <v>0</v>
      </c>
      <c r="D31" s="3">
        <f>IF(AND(VLOOKUP(D$1,test!$A$3:$G$32,5,FALSE)-VLOOKUP($A31,test!$A$3:$G$32,6,FALSE)&gt;=VLOOKUP(VLOOKUP(D$1, test!$A$3:$G$32,3,FALSE), test!$J$11:$K$14, 2, FALSE)/1440,VLOOKUP($A31,test!$A$3:$F$32,4,FALSE)=VLOOKUP(D$1,test!$A$3:$F$32,3,FALSE)),1,0)</f>
        <v>0</v>
      </c>
      <c r="E31" s="3">
        <f>IF(AND(VLOOKUP(E$1,test!$A$3:$G$32,5,FALSE)-VLOOKUP($A31,test!$A$3:$G$32,6,FALSE)&gt;=VLOOKUP(VLOOKUP(E$1, test!$A$3:$G$32,3,FALSE), test!$J$11:$K$14, 2, FALSE)/1440,VLOOKUP($A31,test!$A$3:$F$32,4,FALSE)=VLOOKUP(E$1,test!$A$3:$F$32,3,FALSE)),1,0)</f>
        <v>0</v>
      </c>
      <c r="F31" s="3">
        <f>IF(AND(VLOOKUP(F$1,test!$A$3:$G$32,5,FALSE)-VLOOKUP($A31,test!$A$3:$G$32,6,FALSE)&gt;=VLOOKUP(VLOOKUP(F$1, test!$A$3:$G$32,3,FALSE), test!$J$11:$K$14, 2, FALSE)/1440,VLOOKUP($A31,test!$A$3:$F$32,4,FALSE)=VLOOKUP(F$1,test!$A$3:$F$32,3,FALSE)),1,0)</f>
        <v>0</v>
      </c>
      <c r="G31" s="3">
        <f>IF(AND(VLOOKUP(G$1,test!$A$3:$G$32,5,FALSE)-VLOOKUP($A31,test!$A$3:$G$32,6,FALSE)&gt;=VLOOKUP(VLOOKUP(G$1, test!$A$3:$G$32,3,FALSE), test!$J$11:$K$14, 2, FALSE)/1440,VLOOKUP($A31,test!$A$3:$F$32,4,FALSE)=VLOOKUP(G$1,test!$A$3:$F$32,3,FALSE)),1,0)</f>
        <v>0</v>
      </c>
      <c r="H31" s="3">
        <f>IF(AND(VLOOKUP(H$1,test!$A$3:$G$32,5,FALSE)-VLOOKUP($A31,test!$A$3:$G$32,6,FALSE)&gt;=VLOOKUP(VLOOKUP(H$1, test!$A$3:$G$32,3,FALSE), test!$J$11:$K$14, 2, FALSE)/1440,VLOOKUP($A31,test!$A$3:$F$32,4,FALSE)=VLOOKUP(H$1,test!$A$3:$F$32,3,FALSE)),1,0)</f>
        <v>0</v>
      </c>
      <c r="I31" s="3">
        <f>IF(AND(VLOOKUP(I$1,test!$A$3:$G$32,5,FALSE)-VLOOKUP($A31,test!$A$3:$G$32,6,FALSE)&gt;=VLOOKUP(VLOOKUP(I$1, test!$A$3:$G$32,3,FALSE), test!$J$11:$K$14, 2, FALSE)/1440,VLOOKUP($A31,test!$A$3:$F$32,4,FALSE)=VLOOKUP(I$1,test!$A$3:$F$32,3,FALSE)),1,0)</f>
        <v>1</v>
      </c>
      <c r="J31" s="3">
        <f>IF(AND(VLOOKUP(J$1,test!$A$3:$G$32,5,FALSE)-VLOOKUP($A31,test!$A$3:$G$32,6,FALSE)&gt;=VLOOKUP(VLOOKUP(J$1, test!$A$3:$G$32,3,FALSE), test!$J$11:$K$14, 2, FALSE)/1440,VLOOKUP($A31,test!$A$3:$F$32,4,FALSE)=VLOOKUP(J$1,test!$A$3:$F$32,3,FALSE)),1,0)</f>
        <v>1</v>
      </c>
      <c r="K31" s="3">
        <f>IF(AND(VLOOKUP(K$1,test!$A$3:$G$32,5,FALSE)-VLOOKUP($A31,test!$A$3:$G$32,6,FALSE)&gt;=VLOOKUP(VLOOKUP(K$1, test!$A$3:$G$32,3,FALSE), test!$J$11:$K$14, 2, FALSE)/1440,VLOOKUP($A31,test!$A$3:$F$32,4,FALSE)=VLOOKUP(K$1,test!$A$3:$F$32,3,FALSE)),1,0)</f>
        <v>0</v>
      </c>
      <c r="L31" s="3">
        <f>IF(AND(VLOOKUP(L$1,test!$A$3:$G$32,5,FALSE)-VLOOKUP($A31,test!$A$3:$G$32,6,FALSE)&gt;=VLOOKUP(VLOOKUP(L$1, test!$A$3:$G$32,3,FALSE), test!$J$11:$K$14, 2, FALSE)/1440,VLOOKUP($A31,test!$A$3:$F$32,4,FALSE)=VLOOKUP(L$1,test!$A$3:$F$32,3,FALSE)),1,0)</f>
        <v>0</v>
      </c>
      <c r="M31" s="3">
        <f>IF(AND(VLOOKUP(M$1,test!$A$3:$G$32,5,FALSE)-VLOOKUP($A31,test!$A$3:$G$32,6,FALSE)&gt;=VLOOKUP(VLOOKUP(M$1, test!$A$3:$G$32,3,FALSE), test!$J$11:$K$14, 2, FALSE)/1440,VLOOKUP($A31,test!$A$3:$F$32,4,FALSE)=VLOOKUP(M$1,test!$A$3:$F$32,3,FALSE)),1,0)</f>
        <v>0</v>
      </c>
      <c r="N31" s="3">
        <f>IF(AND(VLOOKUP(N$1,test!$A$3:$G$32,5,FALSE)-VLOOKUP($A31,test!$A$3:$G$32,6,FALSE)&gt;=VLOOKUP(VLOOKUP(N$1, test!$A$3:$G$32,3,FALSE), test!$J$11:$K$14, 2, FALSE)/1440,VLOOKUP($A31,test!$A$3:$F$32,4,FALSE)=VLOOKUP(N$1,test!$A$3:$F$32,3,FALSE)),1,0)</f>
        <v>1</v>
      </c>
      <c r="O31" s="3">
        <f>IF(AND(VLOOKUP(O$1,test!$A$3:$G$32,5,FALSE)-VLOOKUP($A31,test!$A$3:$G$32,6,FALSE)&gt;=VLOOKUP(VLOOKUP(O$1, test!$A$3:$G$32,3,FALSE), test!$J$11:$K$14, 2, FALSE)/1440,VLOOKUP($A31,test!$A$3:$F$32,4,FALSE)=VLOOKUP(O$1,test!$A$3:$F$32,3,FALSE)),1,0)</f>
        <v>1</v>
      </c>
      <c r="P31" s="3">
        <f>IF(AND(VLOOKUP(P$1,test!$A$3:$G$32,5,FALSE)-VLOOKUP($A31,test!$A$3:$G$32,6,FALSE)&gt;=VLOOKUP(VLOOKUP(P$1, test!$A$3:$G$32,3,FALSE), test!$J$11:$K$14, 2, FALSE)/1440,VLOOKUP($A31,test!$A$3:$F$32,4,FALSE)=VLOOKUP(P$1,test!$A$3:$F$32,3,FALSE)),1,0)</f>
        <v>0</v>
      </c>
      <c r="Q31" s="3">
        <f>IF(AND(VLOOKUP(Q$1,test!$A$3:$G$32,5,FALSE)-VLOOKUP($A31,test!$A$3:$G$32,6,FALSE)&gt;=VLOOKUP(VLOOKUP(Q$1, test!$A$3:$G$32,3,FALSE), test!$J$11:$K$14, 2, FALSE)/1440,VLOOKUP($A31,test!$A$3:$F$32,4,FALSE)=VLOOKUP(Q$1,test!$A$3:$F$32,3,FALSE)),1,0)</f>
        <v>0</v>
      </c>
      <c r="R31" s="3">
        <f>IF(AND(VLOOKUP(R$1,test!$A$3:$G$32,5,FALSE)-VLOOKUP($A31,test!$A$3:$G$32,6,FALSE)&gt;=VLOOKUP(VLOOKUP(R$1, test!$A$3:$G$32,3,FALSE), test!$J$11:$K$14, 2, FALSE)/1440,VLOOKUP($A31,test!$A$3:$F$32,4,FALSE)=VLOOKUP(R$1,test!$A$3:$F$32,3,FALSE)),1,0)</f>
        <v>0</v>
      </c>
      <c r="S31" s="3">
        <f>IF(AND(VLOOKUP(S$1,test!$A$3:$G$32,5,FALSE)-VLOOKUP($A31,test!$A$3:$G$32,6,FALSE)&gt;=VLOOKUP(VLOOKUP(S$1, test!$A$3:$G$32,3,FALSE), test!$J$11:$K$14, 2, FALSE)/1440,VLOOKUP($A31,test!$A$3:$F$32,4,FALSE)=VLOOKUP(S$1,test!$A$3:$F$32,3,FALSE)),1,0)</f>
        <v>0</v>
      </c>
      <c r="T31" s="3">
        <f>IF(AND(VLOOKUP(T$1,test!$A$3:$G$32,5,FALSE)-VLOOKUP($A31,test!$A$3:$G$32,6,FALSE)&gt;=VLOOKUP(VLOOKUP(T$1, test!$A$3:$G$32,3,FALSE), test!$J$11:$K$14, 2, FALSE)/1440,VLOOKUP($A31,test!$A$3:$F$32,4,FALSE)=VLOOKUP(T$1,test!$A$3:$F$32,3,FALSE)),1,0)</f>
        <v>0</v>
      </c>
      <c r="U31" s="3">
        <f>IF(AND(VLOOKUP(U$1,test!$A$3:$G$32,5,FALSE)-VLOOKUP($A31,test!$A$3:$G$32,6,FALSE)&gt;=VLOOKUP(VLOOKUP(U$1, test!$A$3:$G$32,3,FALSE), test!$J$11:$K$14, 2, FALSE)/1440,VLOOKUP($A31,test!$A$3:$F$32,4,FALSE)=VLOOKUP(U$1,test!$A$3:$F$32,3,FALSE)),1,0)</f>
        <v>0</v>
      </c>
      <c r="V31" s="3">
        <f>IF(AND(VLOOKUP(V$1,test!$A$3:$G$32,5,FALSE)-VLOOKUP($A31,test!$A$3:$G$32,6,FALSE)&gt;=VLOOKUP(VLOOKUP(V$1, test!$A$3:$G$32,3,FALSE), test!$J$11:$K$14, 2, FALSE)/1440,VLOOKUP($A31,test!$A$3:$F$32,4,FALSE)=VLOOKUP(V$1,test!$A$3:$F$32,3,FALSE)),1,0)</f>
        <v>0</v>
      </c>
      <c r="W31" s="3">
        <f>IF(AND(VLOOKUP(W$1,test!$A$3:$G$32,5,FALSE)-VLOOKUP($A31,test!$A$3:$G$32,6,FALSE)&gt;=VLOOKUP(VLOOKUP(W$1, test!$A$3:$G$32,3,FALSE), test!$J$11:$K$14, 2, FALSE)/1440,VLOOKUP($A31,test!$A$3:$F$32,4,FALSE)=VLOOKUP(W$1,test!$A$3:$F$32,3,FALSE)),1,0)</f>
        <v>0</v>
      </c>
      <c r="X31" s="3">
        <f>IF(AND(VLOOKUP(X$1,test!$A$3:$G$32,5,FALSE)-VLOOKUP($A31,test!$A$3:$G$32,6,FALSE)&gt;=VLOOKUP(VLOOKUP(X$1, test!$A$3:$G$32,3,FALSE), test!$J$11:$K$14, 2, FALSE)/1440,VLOOKUP($A31,test!$A$3:$F$32,4,FALSE)=VLOOKUP(X$1,test!$A$3:$F$32,3,FALSE)),1,0)</f>
        <v>0</v>
      </c>
      <c r="Y31" s="3">
        <f>IF(AND(VLOOKUP(Y$1,test!$A$3:$G$32,5,FALSE)-VLOOKUP($A31,test!$A$3:$G$32,6,FALSE)&gt;=VLOOKUP(VLOOKUP(Y$1, test!$A$3:$G$32,3,FALSE), test!$J$11:$K$14, 2, FALSE)/1440,VLOOKUP($A31,test!$A$3:$F$32,4,FALSE)=VLOOKUP(Y$1,test!$A$3:$F$32,3,FALSE)),1,0)</f>
        <v>0</v>
      </c>
      <c r="Z31" s="3">
        <f>IF(AND(VLOOKUP(Z$1,test!$A$3:$G$32,5,FALSE)-VLOOKUP($A31,test!$A$3:$G$32,6,FALSE)&gt;=VLOOKUP(VLOOKUP(Z$1, test!$A$3:$G$32,3,FALSE), test!$J$11:$K$14, 2, FALSE)/1440,VLOOKUP($A31,test!$A$3:$F$32,4,FALSE)=VLOOKUP(Z$1,test!$A$3:$F$32,3,FALSE)),1,0)</f>
        <v>0</v>
      </c>
      <c r="AA31" s="3">
        <f>IF(AND(VLOOKUP(AA$1,test!$A$3:$G$32,5,FALSE)-VLOOKUP($A31,test!$A$3:$G$32,6,FALSE)&gt;=VLOOKUP(VLOOKUP(AA$1, test!$A$3:$G$32,3,FALSE), test!$J$11:$K$14, 2, FALSE)/1440,VLOOKUP($A31,test!$A$3:$F$32,4,FALSE)=VLOOKUP(AA$1,test!$A$3:$F$32,3,FALSE)),1,0)</f>
        <v>0</v>
      </c>
      <c r="AB31" s="3">
        <f>IF(AND(VLOOKUP(AB$1,test!$A$3:$G$32,5,FALSE)-VLOOKUP($A31,test!$A$3:$G$32,6,FALSE)&gt;=VLOOKUP(VLOOKUP(AB$1, test!$A$3:$G$32,3,FALSE), test!$J$11:$K$14, 2, FALSE)/1440,VLOOKUP($A31,test!$A$3:$F$32,4,FALSE)=VLOOKUP(AB$1,test!$A$3:$F$32,3,FALSE)),1,0)</f>
        <v>0</v>
      </c>
      <c r="AC31" s="3">
        <f>IF(AND(VLOOKUP(AC$1,test!$A$3:$G$32,5,FALSE)-VLOOKUP($A31,test!$A$3:$G$32,6,FALSE)&gt;=VLOOKUP(VLOOKUP(AC$1, test!$A$3:$G$32,3,FALSE), test!$J$11:$K$14, 2, FALSE)/1440,VLOOKUP($A31,test!$A$3:$F$32,4,FALSE)=VLOOKUP(AC$1,test!$A$3:$F$32,3,FALSE)),1,0)</f>
        <v>0</v>
      </c>
      <c r="AD31" s="3">
        <f>IF(AND(VLOOKUP(AD$1,test!$A$3:$G$32,5,FALSE)-VLOOKUP($A31,test!$A$3:$G$32,6,FALSE)&gt;=VLOOKUP(VLOOKUP(AD$1, test!$A$3:$G$32,3,FALSE), test!$J$11:$K$14, 2, FALSE)/1440,VLOOKUP($A31,test!$A$3:$F$32,4,FALSE)=VLOOKUP(AD$1,test!$A$3:$F$32,3,FALSE)),1,0)</f>
        <v>0</v>
      </c>
      <c r="AE31" s="3">
        <f>IF(AND(VLOOKUP(AE$1,test!$A$3:$G$32,5,FALSE)-VLOOKUP($A31,test!$A$3:$G$32,6,FALSE)&gt;=VLOOKUP(VLOOKUP(AE$1, test!$A$3:$G$32,3,FALSE), test!$J$11:$K$14, 2, FALSE)/1440,VLOOKUP($A31,test!$A$3:$F$32,4,FALSE)=VLOOKUP(AE$1,test!$A$3:$F$32,3,FALSE)),1,0)</f>
        <v>0</v>
      </c>
      <c r="AF31" s="3">
        <f>IF(AND(VLOOKUP(AF$1,test!$A$3:$G$32,5,FALSE)-VLOOKUP($A31,test!$A$3:$G$32,6,FALSE)&gt;=VLOOKUP(VLOOKUP(AF$1, test!$A$3:$G$32,3,FALSE), test!$J$11:$K$14, 2, FALSE)/1440,VLOOKUP($A31,test!$A$3:$F$32,4,FALSE)=VLOOKUP(AF$1,test!$A$3:$F$32,3,FALSE)),1,0)</f>
        <v>0</v>
      </c>
    </row>
    <row r="32" spans="1:32" x14ac:dyDescent="0.25">
      <c r="A32" t="s">
        <v>41</v>
      </c>
      <c r="B32" s="4">
        <v>1</v>
      </c>
      <c r="C32" s="3">
        <f>IF(AND(VLOOKUP(C$1,test!$A$3:$G$32,5,FALSE)-VLOOKUP($A32,test!$A$3:$G$32,6,FALSE)&gt;=VLOOKUP(VLOOKUP(C$1, test!$A$3:$G$32,3,FALSE), test!$J$11:$K$14, 2, FALSE)/1440,VLOOKUP($A32,test!$A$3:$F$32,4,FALSE)=VLOOKUP(C$1,test!$A$3:$F$32,3,FALSE)),1,0)</f>
        <v>0</v>
      </c>
      <c r="D32" s="3">
        <f>IF(AND(VLOOKUP(D$1,test!$A$3:$G$32,5,FALSE)-VLOOKUP($A32,test!$A$3:$G$32,6,FALSE)&gt;=VLOOKUP(VLOOKUP(D$1, test!$A$3:$G$32,3,FALSE), test!$J$11:$K$14, 2, FALSE)/1440,VLOOKUP($A32,test!$A$3:$F$32,4,FALSE)=VLOOKUP(D$1,test!$A$3:$F$32,3,FALSE)),1,0)</f>
        <v>0</v>
      </c>
      <c r="E32" s="3">
        <f>IF(AND(VLOOKUP(E$1,test!$A$3:$G$32,5,FALSE)-VLOOKUP($A32,test!$A$3:$G$32,6,FALSE)&gt;=VLOOKUP(VLOOKUP(E$1, test!$A$3:$G$32,3,FALSE), test!$J$11:$K$14, 2, FALSE)/1440,VLOOKUP($A32,test!$A$3:$F$32,4,FALSE)=VLOOKUP(E$1,test!$A$3:$F$32,3,FALSE)),1,0)</f>
        <v>0</v>
      </c>
      <c r="F32" s="3">
        <f>IF(AND(VLOOKUP(F$1,test!$A$3:$G$32,5,FALSE)-VLOOKUP($A32,test!$A$3:$G$32,6,FALSE)&gt;=VLOOKUP(VLOOKUP(F$1, test!$A$3:$G$32,3,FALSE), test!$J$11:$K$14, 2, FALSE)/1440,VLOOKUP($A32,test!$A$3:$F$32,4,FALSE)=VLOOKUP(F$1,test!$A$3:$F$32,3,FALSE)),1,0)</f>
        <v>0</v>
      </c>
      <c r="G32" s="3">
        <f>IF(AND(VLOOKUP(G$1,test!$A$3:$G$32,5,FALSE)-VLOOKUP($A32,test!$A$3:$G$32,6,FALSE)&gt;=VLOOKUP(VLOOKUP(G$1, test!$A$3:$G$32,3,FALSE), test!$J$11:$K$14, 2, FALSE)/1440,VLOOKUP($A32,test!$A$3:$F$32,4,FALSE)=VLOOKUP(G$1,test!$A$3:$F$32,3,FALSE)),1,0)</f>
        <v>0</v>
      </c>
      <c r="H32" s="3">
        <f>IF(AND(VLOOKUP(H$1,test!$A$3:$G$32,5,FALSE)-VLOOKUP($A32,test!$A$3:$G$32,6,FALSE)&gt;=VLOOKUP(VLOOKUP(H$1, test!$A$3:$G$32,3,FALSE), test!$J$11:$K$14, 2, FALSE)/1440,VLOOKUP($A32,test!$A$3:$F$32,4,FALSE)=VLOOKUP(H$1,test!$A$3:$F$32,3,FALSE)),1,0)</f>
        <v>0</v>
      </c>
      <c r="I32" s="3">
        <f>IF(AND(VLOOKUP(I$1,test!$A$3:$G$32,5,FALSE)-VLOOKUP($A32,test!$A$3:$G$32,6,FALSE)&gt;=VLOOKUP(VLOOKUP(I$1, test!$A$3:$G$32,3,FALSE), test!$J$11:$K$14, 2, FALSE)/1440,VLOOKUP($A32,test!$A$3:$F$32,4,FALSE)=VLOOKUP(I$1,test!$A$3:$F$32,3,FALSE)),1,0)</f>
        <v>0</v>
      </c>
      <c r="J32" s="3">
        <f>IF(AND(VLOOKUP(J$1,test!$A$3:$G$32,5,FALSE)-VLOOKUP($A32,test!$A$3:$G$32,6,FALSE)&gt;=VLOOKUP(VLOOKUP(J$1, test!$A$3:$G$32,3,FALSE), test!$J$11:$K$14, 2, FALSE)/1440,VLOOKUP($A32,test!$A$3:$F$32,4,FALSE)=VLOOKUP(J$1,test!$A$3:$F$32,3,FALSE)),1,0)</f>
        <v>0</v>
      </c>
      <c r="K32" s="3">
        <f>IF(AND(VLOOKUP(K$1,test!$A$3:$G$32,5,FALSE)-VLOOKUP($A32,test!$A$3:$G$32,6,FALSE)&gt;=VLOOKUP(VLOOKUP(K$1, test!$A$3:$G$32,3,FALSE), test!$J$11:$K$14, 2, FALSE)/1440,VLOOKUP($A32,test!$A$3:$F$32,4,FALSE)=VLOOKUP(K$1,test!$A$3:$F$32,3,FALSE)),1,0)</f>
        <v>0</v>
      </c>
      <c r="L32" s="3">
        <f>IF(AND(VLOOKUP(L$1,test!$A$3:$G$32,5,FALSE)-VLOOKUP($A32,test!$A$3:$G$32,6,FALSE)&gt;=VLOOKUP(VLOOKUP(L$1, test!$A$3:$G$32,3,FALSE), test!$J$11:$K$14, 2, FALSE)/1440,VLOOKUP($A32,test!$A$3:$F$32,4,FALSE)=VLOOKUP(L$1,test!$A$3:$F$32,3,FALSE)),1,0)</f>
        <v>0</v>
      </c>
      <c r="M32" s="3">
        <f>IF(AND(VLOOKUP(M$1,test!$A$3:$G$32,5,FALSE)-VLOOKUP($A32,test!$A$3:$G$32,6,FALSE)&gt;=VLOOKUP(VLOOKUP(M$1, test!$A$3:$G$32,3,FALSE), test!$J$11:$K$14, 2, FALSE)/1440,VLOOKUP($A32,test!$A$3:$F$32,4,FALSE)=VLOOKUP(M$1,test!$A$3:$F$32,3,FALSE)),1,0)</f>
        <v>0</v>
      </c>
      <c r="N32" s="3">
        <f>IF(AND(VLOOKUP(N$1,test!$A$3:$G$32,5,FALSE)-VLOOKUP($A32,test!$A$3:$G$32,6,FALSE)&gt;=VLOOKUP(VLOOKUP(N$1, test!$A$3:$G$32,3,FALSE), test!$J$11:$K$14, 2, FALSE)/1440,VLOOKUP($A32,test!$A$3:$F$32,4,FALSE)=VLOOKUP(N$1,test!$A$3:$F$32,3,FALSE)),1,0)</f>
        <v>0</v>
      </c>
      <c r="O32" s="3">
        <f>IF(AND(VLOOKUP(O$1,test!$A$3:$G$32,5,FALSE)-VLOOKUP($A32,test!$A$3:$G$32,6,FALSE)&gt;=VLOOKUP(VLOOKUP(O$1, test!$A$3:$G$32,3,FALSE), test!$J$11:$K$14, 2, FALSE)/1440,VLOOKUP($A32,test!$A$3:$F$32,4,FALSE)=VLOOKUP(O$1,test!$A$3:$F$32,3,FALSE)),1,0)</f>
        <v>0</v>
      </c>
      <c r="P32" s="3">
        <f>IF(AND(VLOOKUP(P$1,test!$A$3:$G$32,5,FALSE)-VLOOKUP($A32,test!$A$3:$G$32,6,FALSE)&gt;=VLOOKUP(VLOOKUP(P$1, test!$A$3:$G$32,3,FALSE), test!$J$11:$K$14, 2, FALSE)/1440,VLOOKUP($A32,test!$A$3:$F$32,4,FALSE)=VLOOKUP(P$1,test!$A$3:$F$32,3,FALSE)),1,0)</f>
        <v>0</v>
      </c>
      <c r="Q32" s="3">
        <f>IF(AND(VLOOKUP(Q$1,test!$A$3:$G$32,5,FALSE)-VLOOKUP($A32,test!$A$3:$G$32,6,FALSE)&gt;=VLOOKUP(VLOOKUP(Q$1, test!$A$3:$G$32,3,FALSE), test!$J$11:$K$14, 2, FALSE)/1440,VLOOKUP($A32,test!$A$3:$F$32,4,FALSE)=VLOOKUP(Q$1,test!$A$3:$F$32,3,FALSE)),1,0)</f>
        <v>0</v>
      </c>
      <c r="R32" s="3">
        <f>IF(AND(VLOOKUP(R$1,test!$A$3:$G$32,5,FALSE)-VLOOKUP($A32,test!$A$3:$G$32,6,FALSE)&gt;=VLOOKUP(VLOOKUP(R$1, test!$A$3:$G$32,3,FALSE), test!$J$11:$K$14, 2, FALSE)/1440,VLOOKUP($A32,test!$A$3:$F$32,4,FALSE)=VLOOKUP(R$1,test!$A$3:$F$32,3,FALSE)),1,0)</f>
        <v>0</v>
      </c>
      <c r="S32" s="3">
        <f>IF(AND(VLOOKUP(S$1,test!$A$3:$G$32,5,FALSE)-VLOOKUP($A32,test!$A$3:$G$32,6,FALSE)&gt;=VLOOKUP(VLOOKUP(S$1, test!$A$3:$G$32,3,FALSE), test!$J$11:$K$14, 2, FALSE)/1440,VLOOKUP($A32,test!$A$3:$F$32,4,FALSE)=VLOOKUP(S$1,test!$A$3:$F$32,3,FALSE)),1,0)</f>
        <v>0</v>
      </c>
      <c r="T32" s="3">
        <f>IF(AND(VLOOKUP(T$1,test!$A$3:$G$32,5,FALSE)-VLOOKUP($A32,test!$A$3:$G$32,6,FALSE)&gt;=VLOOKUP(VLOOKUP(T$1, test!$A$3:$G$32,3,FALSE), test!$J$11:$K$14, 2, FALSE)/1440,VLOOKUP($A32,test!$A$3:$F$32,4,FALSE)=VLOOKUP(T$1,test!$A$3:$F$32,3,FALSE)),1,0)</f>
        <v>0</v>
      </c>
      <c r="U32" s="3">
        <f>IF(AND(VLOOKUP(U$1,test!$A$3:$G$32,5,FALSE)-VLOOKUP($A32,test!$A$3:$G$32,6,FALSE)&gt;=VLOOKUP(VLOOKUP(U$1, test!$A$3:$G$32,3,FALSE), test!$J$11:$K$14, 2, FALSE)/1440,VLOOKUP($A32,test!$A$3:$F$32,4,FALSE)=VLOOKUP(U$1,test!$A$3:$F$32,3,FALSE)),1,0)</f>
        <v>0</v>
      </c>
      <c r="V32" s="3">
        <f>IF(AND(VLOOKUP(V$1,test!$A$3:$G$32,5,FALSE)-VLOOKUP($A32,test!$A$3:$G$32,6,FALSE)&gt;=VLOOKUP(VLOOKUP(V$1, test!$A$3:$G$32,3,FALSE), test!$J$11:$K$14, 2, FALSE)/1440,VLOOKUP($A32,test!$A$3:$F$32,4,FALSE)=VLOOKUP(V$1,test!$A$3:$F$32,3,FALSE)),1,0)</f>
        <v>0</v>
      </c>
      <c r="W32" s="3">
        <f>IF(AND(VLOOKUP(W$1,test!$A$3:$G$32,5,FALSE)-VLOOKUP($A32,test!$A$3:$G$32,6,FALSE)&gt;=VLOOKUP(VLOOKUP(W$1, test!$A$3:$G$32,3,FALSE), test!$J$11:$K$14, 2, FALSE)/1440,VLOOKUP($A32,test!$A$3:$F$32,4,FALSE)=VLOOKUP(W$1,test!$A$3:$F$32,3,FALSE)),1,0)</f>
        <v>0</v>
      </c>
      <c r="X32" s="3">
        <f>IF(AND(VLOOKUP(X$1,test!$A$3:$G$32,5,FALSE)-VLOOKUP($A32,test!$A$3:$G$32,6,FALSE)&gt;=VLOOKUP(VLOOKUP(X$1, test!$A$3:$G$32,3,FALSE), test!$J$11:$K$14, 2, FALSE)/1440,VLOOKUP($A32,test!$A$3:$F$32,4,FALSE)=VLOOKUP(X$1,test!$A$3:$F$32,3,FALSE)),1,0)</f>
        <v>0</v>
      </c>
      <c r="Y32" s="3">
        <f>IF(AND(VLOOKUP(Y$1,test!$A$3:$G$32,5,FALSE)-VLOOKUP($A32,test!$A$3:$G$32,6,FALSE)&gt;=VLOOKUP(VLOOKUP(Y$1, test!$A$3:$G$32,3,FALSE), test!$J$11:$K$14, 2, FALSE)/1440,VLOOKUP($A32,test!$A$3:$F$32,4,FALSE)=VLOOKUP(Y$1,test!$A$3:$F$32,3,FALSE)),1,0)</f>
        <v>0</v>
      </c>
      <c r="Z32" s="3">
        <f>IF(AND(VLOOKUP(Z$1,test!$A$3:$G$32,5,FALSE)-VLOOKUP($A32,test!$A$3:$G$32,6,FALSE)&gt;=VLOOKUP(VLOOKUP(Z$1, test!$A$3:$G$32,3,FALSE), test!$J$11:$K$14, 2, FALSE)/1440,VLOOKUP($A32,test!$A$3:$F$32,4,FALSE)=VLOOKUP(Z$1,test!$A$3:$F$32,3,FALSE)),1,0)</f>
        <v>0</v>
      </c>
      <c r="AA32" s="3">
        <f>IF(AND(VLOOKUP(AA$1,test!$A$3:$G$32,5,FALSE)-VLOOKUP($A32,test!$A$3:$G$32,6,FALSE)&gt;=VLOOKUP(VLOOKUP(AA$1, test!$A$3:$G$32,3,FALSE), test!$J$11:$K$14, 2, FALSE)/1440,VLOOKUP($A32,test!$A$3:$F$32,4,FALSE)=VLOOKUP(AA$1,test!$A$3:$F$32,3,FALSE)),1,0)</f>
        <v>0</v>
      </c>
      <c r="AB32" s="3">
        <f>IF(AND(VLOOKUP(AB$1,test!$A$3:$G$32,5,FALSE)-VLOOKUP($A32,test!$A$3:$G$32,6,FALSE)&gt;=VLOOKUP(VLOOKUP(AB$1, test!$A$3:$G$32,3,FALSE), test!$J$11:$K$14, 2, FALSE)/1440,VLOOKUP($A32,test!$A$3:$F$32,4,FALSE)=VLOOKUP(AB$1,test!$A$3:$F$32,3,FALSE)),1,0)</f>
        <v>0</v>
      </c>
      <c r="AC32" s="3">
        <f>IF(AND(VLOOKUP(AC$1,test!$A$3:$G$32,5,FALSE)-VLOOKUP($A32,test!$A$3:$G$32,6,FALSE)&gt;=VLOOKUP(VLOOKUP(AC$1, test!$A$3:$G$32,3,FALSE), test!$J$11:$K$14, 2, FALSE)/1440,VLOOKUP($A32,test!$A$3:$F$32,4,FALSE)=VLOOKUP(AC$1,test!$A$3:$F$32,3,FALSE)),1,0)</f>
        <v>0</v>
      </c>
      <c r="AD32" s="3">
        <f>IF(AND(VLOOKUP(AD$1,test!$A$3:$G$32,5,FALSE)-VLOOKUP($A32,test!$A$3:$G$32,6,FALSE)&gt;=VLOOKUP(VLOOKUP(AD$1, test!$A$3:$G$32,3,FALSE), test!$J$11:$K$14, 2, FALSE)/1440,VLOOKUP($A32,test!$A$3:$F$32,4,FALSE)=VLOOKUP(AD$1,test!$A$3:$F$32,3,FALSE)),1,0)</f>
        <v>0</v>
      </c>
      <c r="AE32" s="3">
        <f>IF(AND(VLOOKUP(AE$1,test!$A$3:$G$32,5,FALSE)-VLOOKUP($A32,test!$A$3:$G$32,6,FALSE)&gt;=VLOOKUP(VLOOKUP(AE$1, test!$A$3:$G$32,3,FALSE), test!$J$11:$K$14, 2, FALSE)/1440,VLOOKUP($A32,test!$A$3:$F$32,4,FALSE)=VLOOKUP(AE$1,test!$A$3:$F$32,3,FALSE)),1,0)</f>
        <v>0</v>
      </c>
      <c r="AF32" s="3">
        <f>IF(AND(VLOOKUP(AF$1,test!$A$3:$G$32,5,FALSE)-VLOOKUP($A32,test!$A$3:$G$32,6,FALSE)&gt;=VLOOKUP(VLOOKUP(AF$1, test!$A$3:$G$32,3,FALSE), test!$J$11:$K$14, 2, FALSE)/1440,VLOOKUP($A32,test!$A$3:$F$32,4,FALSE)=VLOOKUP(AF$1,test!$A$3:$F$32,3,FALSE)),1,0)</f>
        <v>0</v>
      </c>
    </row>
  </sheetData>
  <conditionalFormatting sqref="C3:AF32">
    <cfRule type="cellIs" dxfId="4" priority="1" operator="equal">
      <formula>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39962-F4D7-4FEB-9F14-68B5F9DF7379}">
  <dimension ref="A1:AI35"/>
  <sheetViews>
    <sheetView topLeftCell="G1" workbookViewId="0">
      <selection activeCell="AI34" sqref="AI34"/>
    </sheetView>
  </sheetViews>
  <sheetFormatPr defaultRowHeight="15" x14ac:dyDescent="0.25"/>
  <sheetData>
    <row r="1" spans="1:35" x14ac:dyDescent="0.25">
      <c r="B1" t="s">
        <v>47</v>
      </c>
      <c r="C1" t="s">
        <v>6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18</v>
      </c>
      <c r="L1" t="s">
        <v>20</v>
      </c>
      <c r="M1" t="s">
        <v>21</v>
      </c>
      <c r="N1" t="s">
        <v>22</v>
      </c>
      <c r="O1" t="s">
        <v>23</v>
      </c>
      <c r="P1" t="s">
        <v>24</v>
      </c>
      <c r="Q1" t="s">
        <v>26</v>
      </c>
      <c r="R1" t="s">
        <v>27</v>
      </c>
      <c r="S1" t="s">
        <v>28</v>
      </c>
      <c r="T1" t="s">
        <v>29</v>
      </c>
      <c r="U1" t="s">
        <v>30</v>
      </c>
      <c r="V1" t="s">
        <v>31</v>
      </c>
      <c r="W1" t="s">
        <v>32</v>
      </c>
      <c r="X1" t="s">
        <v>33</v>
      </c>
      <c r="Y1" t="s">
        <v>34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49</v>
      </c>
      <c r="AH1" t="s">
        <v>59</v>
      </c>
      <c r="AI1" t="s">
        <v>60</v>
      </c>
    </row>
    <row r="2" spans="1:35" x14ac:dyDescent="0.25">
      <c r="A2" t="s">
        <v>47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6</v>
      </c>
      <c r="B3">
        <v>0</v>
      </c>
      <c r="C3">
        <f>IF(AND(SUM(VLOOKUP($A3,test!$A$3:$F$32,2,FALSE),VLOOKUP(C$1,test!$A$3:$F$32,2,FALSE))&lt;test!$K$16,$A3&lt;&gt;C$1,feasible_mat!C3=1),SUM(VLOOKUP($A3,test!$A$3:$F$32,2,FALSE),VLOOKUP(C$1,test!$A$3:$F$32,2,FALSE)),0)</f>
        <v>0</v>
      </c>
      <c r="D3">
        <f>IF(AND(SUM(VLOOKUP($A3,test!$A$3:$F$32,2,FALSE),VLOOKUP(D$1,test!$A$3:$F$32,2,FALSE))&lt;test!$K$16,$A3&lt;&gt;D$1,feasible_mat!D3=1),SUM(VLOOKUP($A3,test!$A$3:$F$32,2,FALSE),VLOOKUP(D$1,test!$A$3:$F$32,2,FALSE)),0)</f>
        <v>0</v>
      </c>
      <c r="E3">
        <f>IF(AND(SUM(VLOOKUP($A3,test!$A$3:$F$32,2,FALSE),VLOOKUP(E$1,test!$A$3:$F$32,2,FALSE))&lt;test!$K$16,$A3&lt;&gt;E$1,feasible_mat!E3=1),SUM(VLOOKUP($A3,test!$A$3:$F$32,2,FALSE),VLOOKUP(E$1,test!$A$3:$F$32,2,FALSE)),0)</f>
        <v>0</v>
      </c>
      <c r="F3">
        <f>IF(AND(SUM(VLOOKUP($A3,test!$A$3:$F$32,2,FALSE),VLOOKUP(F$1,test!$A$3:$F$32,2,FALSE))&lt;test!$K$16,$A3&lt;&gt;F$1,feasible_mat!F3=1),SUM(VLOOKUP($A3,test!$A$3:$F$32,2,FALSE),VLOOKUP(F$1,test!$A$3:$F$32,2,FALSE)),0)</f>
        <v>0</v>
      </c>
      <c r="G3">
        <f>IF(AND(SUM(VLOOKUP($A3,test!$A$3:$F$32,2,FALSE),VLOOKUP(G$1,test!$A$3:$F$32,2,FALSE))&lt;test!$K$16,$A3&lt;&gt;G$1,feasible_mat!G3=1),SUM(VLOOKUP($A3,test!$A$3:$F$32,2,FALSE),VLOOKUP(G$1,test!$A$3:$F$32,2,FALSE)),0)</f>
        <v>0</v>
      </c>
      <c r="H3">
        <f>IF(AND(SUM(VLOOKUP($A3,test!$A$3:$F$32,2,FALSE),VLOOKUP(H$1,test!$A$3:$F$32,2,FALSE))&lt;test!$K$16,$A3&lt;&gt;H$1,feasible_mat!H3=1),SUM(VLOOKUP($A3,test!$A$3:$F$32,2,FALSE),VLOOKUP(H$1,test!$A$3:$F$32,2,FALSE)),0)</f>
        <v>0</v>
      </c>
      <c r="I3">
        <f>IF(AND(SUM(VLOOKUP($A3,test!$A$3:$F$32,2,FALSE),VLOOKUP(I$1,test!$A$3:$F$32,2,FALSE))&lt;test!$K$16,$A3&lt;&gt;I$1,feasible_mat!I3=1),SUM(VLOOKUP($A3,test!$A$3:$F$32,2,FALSE),VLOOKUP(I$1,test!$A$3:$F$32,2,FALSE)),0)</f>
        <v>0</v>
      </c>
      <c r="J3">
        <f>IF(AND(SUM(VLOOKUP($A3,test!$A$3:$F$32,2,FALSE),VLOOKUP(J$1,test!$A$3:$F$32,2,FALSE))&lt;test!$K$16,$A3&lt;&gt;J$1,feasible_mat!J3=1),SUM(VLOOKUP($A3,test!$A$3:$F$32,2,FALSE),VLOOKUP(J$1,test!$A$3:$F$32,2,FALSE)),0)</f>
        <v>0</v>
      </c>
      <c r="K3">
        <f>IF(AND(SUM(VLOOKUP($A3,test!$A$3:$F$32,2,FALSE),VLOOKUP(K$1,test!$A$3:$F$32,2,FALSE))&lt;test!$K$16,$A3&lt;&gt;K$1,feasible_mat!K3=1),SUM(VLOOKUP($A3,test!$A$3:$F$32,2,FALSE),VLOOKUP(K$1,test!$A$3:$F$32,2,FALSE)),0)</f>
        <v>0</v>
      </c>
      <c r="L3">
        <f>IF(AND(SUM(VLOOKUP($A3,test!$A$3:$F$32,2,FALSE),VLOOKUP(L$1,test!$A$3:$F$32,2,FALSE))&lt;test!$K$16,$A3&lt;&gt;L$1,feasible_mat!L3=1),SUM(VLOOKUP($A3,test!$A$3:$F$32,2,FALSE),VLOOKUP(L$1,test!$A$3:$F$32,2,FALSE)),0)</f>
        <v>0</v>
      </c>
      <c r="M3">
        <f>IF(AND(SUM(VLOOKUP($A3,test!$A$3:$F$32,2,FALSE),VLOOKUP(M$1,test!$A$3:$F$32,2,FALSE))&lt;test!$K$16,$A3&lt;&gt;M$1,feasible_mat!M3=1),SUM(VLOOKUP($A3,test!$A$3:$F$32,2,FALSE),VLOOKUP(M$1,test!$A$3:$F$32,2,FALSE)),0)</f>
        <v>0</v>
      </c>
      <c r="N3">
        <f>IF(AND(SUM(VLOOKUP($A3,test!$A$3:$F$32,2,FALSE),VLOOKUP(N$1,test!$A$3:$F$32,2,FALSE))&lt;test!$K$16,$A3&lt;&gt;N$1,feasible_mat!N3=1),SUM(VLOOKUP($A3,test!$A$3:$F$32,2,FALSE),VLOOKUP(N$1,test!$A$3:$F$32,2,FALSE)),0)</f>
        <v>0</v>
      </c>
      <c r="O3">
        <f>IF(AND(SUM(VLOOKUP($A3,test!$A$3:$F$32,2,FALSE),VLOOKUP(O$1,test!$A$3:$F$32,2,FALSE))&lt;test!$K$16,$A3&lt;&gt;O$1,feasible_mat!O3=1),SUM(VLOOKUP($A3,test!$A$3:$F$32,2,FALSE),VLOOKUP(O$1,test!$A$3:$F$32,2,FALSE)),0)</f>
        <v>0</v>
      </c>
      <c r="P3">
        <f>IF(AND(SUM(VLOOKUP($A3,test!$A$3:$F$32,2,FALSE),VLOOKUP(P$1,test!$A$3:$F$32,2,FALSE))&lt;test!$K$16,$A3&lt;&gt;P$1,feasible_mat!P3=1),SUM(VLOOKUP($A3,test!$A$3:$F$32,2,FALSE),VLOOKUP(P$1,test!$A$3:$F$32,2,FALSE)),0)</f>
        <v>0</v>
      </c>
      <c r="Q3">
        <f>IF(AND(SUM(VLOOKUP($A3,test!$A$3:$F$32,2,FALSE),VLOOKUP(Q$1,test!$A$3:$F$32,2,FALSE))&lt;test!$K$16,$A3&lt;&gt;Q$1,feasible_mat!Q3=1),SUM(VLOOKUP($A3,test!$A$3:$F$32,2,FALSE),VLOOKUP(Q$1,test!$A$3:$F$32,2,FALSE)),0)</f>
        <v>0</v>
      </c>
      <c r="R3">
        <f>IF(AND(SUM(VLOOKUP($A3,test!$A$3:$F$32,2,FALSE),VLOOKUP(R$1,test!$A$3:$F$32,2,FALSE))&lt;test!$K$16,$A3&lt;&gt;R$1,feasible_mat!R3=1),SUM(VLOOKUP($A3,test!$A$3:$F$32,2,FALSE),VLOOKUP(R$1,test!$A$3:$F$32,2,FALSE)),0)</f>
        <v>0</v>
      </c>
      <c r="S3">
        <f>IF(AND(SUM(VLOOKUP($A3,test!$A$3:$F$32,2,FALSE),VLOOKUP(S$1,test!$A$3:$F$32,2,FALSE))&lt;test!$K$16,$A3&lt;&gt;S$1,feasible_mat!S3=1),SUM(VLOOKUP($A3,test!$A$3:$F$32,2,FALSE),VLOOKUP(S$1,test!$A$3:$F$32,2,FALSE)),0)</f>
        <v>270</v>
      </c>
      <c r="T3">
        <f>IF(AND(SUM(VLOOKUP($A3,test!$A$3:$F$32,2,FALSE),VLOOKUP(T$1,test!$A$3:$F$32,2,FALSE))&lt;test!$K$16,$A3&lt;&gt;T$1,feasible_mat!T3=1),SUM(VLOOKUP($A3,test!$A$3:$F$32,2,FALSE),VLOOKUP(T$1,test!$A$3:$F$32,2,FALSE)),0)</f>
        <v>270</v>
      </c>
      <c r="U3">
        <f>IF(AND(SUM(VLOOKUP($A3,test!$A$3:$F$32,2,FALSE),VLOOKUP(U$1,test!$A$3:$F$32,2,FALSE))&lt;test!$K$16,$A3&lt;&gt;U$1,feasible_mat!U3=1),SUM(VLOOKUP($A3,test!$A$3:$F$32,2,FALSE),VLOOKUP(U$1,test!$A$3:$F$32,2,FALSE)),0)</f>
        <v>270</v>
      </c>
      <c r="V3">
        <f>IF(AND(SUM(VLOOKUP($A3,test!$A$3:$F$32,2,FALSE),VLOOKUP(V$1,test!$A$3:$F$32,2,FALSE))&lt;test!$K$16,$A3&lt;&gt;V$1,feasible_mat!V3=1),SUM(VLOOKUP($A3,test!$A$3:$F$32,2,FALSE),VLOOKUP(V$1,test!$A$3:$F$32,2,FALSE)),0)</f>
        <v>270</v>
      </c>
      <c r="W3">
        <f>IF(AND(SUM(VLOOKUP($A3,test!$A$3:$F$32,2,FALSE),VLOOKUP(W$1,test!$A$3:$F$32,2,FALSE))&lt;test!$K$16,$A3&lt;&gt;W$1,feasible_mat!W3=1),SUM(VLOOKUP($A3,test!$A$3:$F$32,2,FALSE),VLOOKUP(W$1,test!$A$3:$F$32,2,FALSE)),0)</f>
        <v>270</v>
      </c>
      <c r="X3">
        <f>IF(AND(SUM(VLOOKUP($A3,test!$A$3:$F$32,2,FALSE),VLOOKUP(X$1,test!$A$3:$F$32,2,FALSE))&lt;test!$K$16,$A3&lt;&gt;X$1,feasible_mat!X3=1),SUM(VLOOKUP($A3,test!$A$3:$F$32,2,FALSE),VLOOKUP(X$1,test!$A$3:$F$32,2,FALSE)),0)</f>
        <v>270</v>
      </c>
      <c r="Y3">
        <f>IF(AND(SUM(VLOOKUP($A3,test!$A$3:$F$32,2,FALSE),VLOOKUP(Y$1,test!$A$3:$F$32,2,FALSE))&lt;test!$K$16,$A3&lt;&gt;Y$1,feasible_mat!Y3=1),SUM(VLOOKUP($A3,test!$A$3:$F$32,2,FALSE),VLOOKUP(Y$1,test!$A$3:$F$32,2,FALSE)),0)</f>
        <v>0</v>
      </c>
      <c r="Z3">
        <f>IF(AND(SUM(VLOOKUP($A3,test!$A$3:$F$32,2,FALSE),VLOOKUP(Z$1,test!$A$3:$F$32,2,FALSE))&lt;test!$K$16,$A3&lt;&gt;Z$1,feasible_mat!Z3=1),SUM(VLOOKUP($A3,test!$A$3:$F$32,2,FALSE),VLOOKUP(Z$1,test!$A$3:$F$32,2,FALSE)),0)</f>
        <v>0</v>
      </c>
      <c r="AA3">
        <f>IF(AND(SUM(VLOOKUP($A3,test!$A$3:$F$32,2,FALSE),VLOOKUP(AA$1,test!$A$3:$F$32,2,FALSE))&lt;test!$K$16,$A3&lt;&gt;AA$1,feasible_mat!AA3=1),SUM(VLOOKUP($A3,test!$A$3:$F$32,2,FALSE),VLOOKUP(AA$1,test!$A$3:$F$32,2,FALSE)),0)</f>
        <v>0</v>
      </c>
      <c r="AB3">
        <f>IF(AND(SUM(VLOOKUP($A3,test!$A$3:$F$32,2,FALSE),VLOOKUP(AB$1,test!$A$3:$F$32,2,FALSE))&lt;test!$K$16,$A3&lt;&gt;AB$1,feasible_mat!AB3=1),SUM(VLOOKUP($A3,test!$A$3:$F$32,2,FALSE),VLOOKUP(AB$1,test!$A$3:$F$32,2,FALSE)),0)</f>
        <v>0</v>
      </c>
      <c r="AC3">
        <f>IF(AND(SUM(VLOOKUP($A3,test!$A$3:$F$32,2,FALSE),VLOOKUP(AC$1,test!$A$3:$F$32,2,FALSE))&lt;test!$K$16,$A3&lt;&gt;AC$1,feasible_mat!AC3=1),SUM(VLOOKUP($A3,test!$A$3:$F$32,2,FALSE),VLOOKUP(AC$1,test!$A$3:$F$32,2,FALSE)),0)</f>
        <v>0</v>
      </c>
      <c r="AD3">
        <f>IF(AND(SUM(VLOOKUP($A3,test!$A$3:$F$32,2,FALSE),VLOOKUP(AD$1,test!$A$3:$F$32,2,FALSE))&lt;test!$K$16,$A3&lt;&gt;AD$1,feasible_mat!AD3=1),SUM(VLOOKUP($A3,test!$A$3:$F$32,2,FALSE),VLOOKUP(AD$1,test!$A$3:$F$32,2,FALSE)),0)</f>
        <v>0</v>
      </c>
      <c r="AE3">
        <f>IF(AND(SUM(VLOOKUP($A3,test!$A$3:$F$32,2,FALSE),VLOOKUP(AE$1,test!$A$3:$F$32,2,FALSE))&lt;test!$K$16,$A3&lt;&gt;AE$1,feasible_mat!AE3=1),SUM(VLOOKUP($A3,test!$A$3:$F$32,2,FALSE),VLOOKUP(AE$1,test!$A$3:$F$32,2,FALSE)),0)</f>
        <v>0</v>
      </c>
      <c r="AF3">
        <f>IF(AND(SUM(VLOOKUP($A3,test!$A$3:$F$32,2,FALSE),VLOOKUP(AF$1,test!$A$3:$F$32,2,FALSE))&lt;test!$K$16,$A3&lt;&gt;AF$1,feasible_mat!AF3=1),SUM(VLOOKUP($A3,test!$A$3:$F$32,2,FALSE),VLOOKUP(AF$1,test!$A$3:$F$32,2,FALSE)),0)</f>
        <v>0</v>
      </c>
      <c r="AG3">
        <v>60</v>
      </c>
      <c r="AH3">
        <v>75</v>
      </c>
      <c r="AI3">
        <v>70</v>
      </c>
    </row>
    <row r="4" spans="1:35" x14ac:dyDescent="0.25">
      <c r="A4" t="s">
        <v>9</v>
      </c>
      <c r="B4">
        <v>0</v>
      </c>
      <c r="C4">
        <f>IF(AND(SUM(VLOOKUP($A4,test!$A$3:$F$32,2,FALSE),VLOOKUP(C$1,test!$A$3:$F$32,2,FALSE))&lt;test!$K$16,$A4&lt;&gt;C$1,feasible_mat!C4=1),SUM(VLOOKUP($A4,test!$A$3:$F$32,2,FALSE),VLOOKUP(C$1,test!$A$3:$F$32,2,FALSE)),0)</f>
        <v>0</v>
      </c>
      <c r="D4">
        <f>IF(AND(SUM(VLOOKUP($A4,test!$A$3:$F$32,2,FALSE),VLOOKUP(D$1,test!$A$3:$F$32,2,FALSE))&lt;test!$K$16,$A4&lt;&gt;D$1,feasible_mat!D4=1),SUM(VLOOKUP($A4,test!$A$3:$F$32,2,FALSE),VLOOKUP(D$1,test!$A$3:$F$32,2,FALSE)),0)</f>
        <v>0</v>
      </c>
      <c r="E4">
        <f>IF(AND(SUM(VLOOKUP($A4,test!$A$3:$F$32,2,FALSE),VLOOKUP(E$1,test!$A$3:$F$32,2,FALSE))&lt;test!$K$16,$A4&lt;&gt;E$1,feasible_mat!E4=1),SUM(VLOOKUP($A4,test!$A$3:$F$32,2,FALSE),VLOOKUP(E$1,test!$A$3:$F$32,2,FALSE)),0)</f>
        <v>0</v>
      </c>
      <c r="F4">
        <f>IF(AND(SUM(VLOOKUP($A4,test!$A$3:$F$32,2,FALSE),VLOOKUP(F$1,test!$A$3:$F$32,2,FALSE))&lt;test!$K$16,$A4&lt;&gt;F$1,feasible_mat!F4=1),SUM(VLOOKUP($A4,test!$A$3:$F$32,2,FALSE),VLOOKUP(F$1,test!$A$3:$F$32,2,FALSE)),0)</f>
        <v>0</v>
      </c>
      <c r="G4">
        <f>IF(AND(SUM(VLOOKUP($A4,test!$A$3:$F$32,2,FALSE),VLOOKUP(G$1,test!$A$3:$F$32,2,FALSE))&lt;test!$K$16,$A4&lt;&gt;G$1,feasible_mat!G4=1),SUM(VLOOKUP($A4,test!$A$3:$F$32,2,FALSE),VLOOKUP(G$1,test!$A$3:$F$32,2,FALSE)),0)</f>
        <v>0</v>
      </c>
      <c r="H4">
        <f>IF(AND(SUM(VLOOKUP($A4,test!$A$3:$F$32,2,FALSE),VLOOKUP(H$1,test!$A$3:$F$32,2,FALSE))&lt;test!$K$16,$A4&lt;&gt;H$1,feasible_mat!H4=1),SUM(VLOOKUP($A4,test!$A$3:$F$32,2,FALSE),VLOOKUP(H$1,test!$A$3:$F$32,2,FALSE)),0)</f>
        <v>0</v>
      </c>
      <c r="I4">
        <f>IF(AND(SUM(VLOOKUP($A4,test!$A$3:$F$32,2,FALSE),VLOOKUP(I$1,test!$A$3:$F$32,2,FALSE))&lt;test!$K$16,$A4&lt;&gt;I$1,feasible_mat!I4=1),SUM(VLOOKUP($A4,test!$A$3:$F$32,2,FALSE),VLOOKUP(I$1,test!$A$3:$F$32,2,FALSE)),0)</f>
        <v>0</v>
      </c>
      <c r="J4">
        <f>IF(AND(SUM(VLOOKUP($A4,test!$A$3:$F$32,2,FALSE),VLOOKUP(J$1,test!$A$3:$F$32,2,FALSE))&lt;test!$K$16,$A4&lt;&gt;J$1,feasible_mat!J4=1),SUM(VLOOKUP($A4,test!$A$3:$F$32,2,FALSE),VLOOKUP(J$1,test!$A$3:$F$32,2,FALSE)),0)</f>
        <v>0</v>
      </c>
      <c r="K4">
        <f>IF(AND(SUM(VLOOKUP($A4,test!$A$3:$F$32,2,FALSE),VLOOKUP(K$1,test!$A$3:$F$32,2,FALSE))&lt;test!$K$16,$A4&lt;&gt;K$1,feasible_mat!K4=1),SUM(VLOOKUP($A4,test!$A$3:$F$32,2,FALSE),VLOOKUP(K$1,test!$A$3:$F$32,2,FALSE)),0)</f>
        <v>0</v>
      </c>
      <c r="L4">
        <f>IF(AND(SUM(VLOOKUP($A4,test!$A$3:$F$32,2,FALSE),VLOOKUP(L$1,test!$A$3:$F$32,2,FALSE))&lt;test!$K$16,$A4&lt;&gt;L$1,feasible_mat!L4=1),SUM(VLOOKUP($A4,test!$A$3:$F$32,2,FALSE),VLOOKUP(L$1,test!$A$3:$F$32,2,FALSE)),0)</f>
        <v>0</v>
      </c>
      <c r="M4">
        <f>IF(AND(SUM(VLOOKUP($A4,test!$A$3:$F$32,2,FALSE),VLOOKUP(M$1,test!$A$3:$F$32,2,FALSE))&lt;test!$K$16,$A4&lt;&gt;M$1,feasible_mat!M4=1),SUM(VLOOKUP($A4,test!$A$3:$F$32,2,FALSE),VLOOKUP(M$1,test!$A$3:$F$32,2,FALSE)),0)</f>
        <v>0</v>
      </c>
      <c r="N4">
        <f>IF(AND(SUM(VLOOKUP($A4,test!$A$3:$F$32,2,FALSE),VLOOKUP(N$1,test!$A$3:$F$32,2,FALSE))&lt;test!$K$16,$A4&lt;&gt;N$1,feasible_mat!N4=1),SUM(VLOOKUP($A4,test!$A$3:$F$32,2,FALSE),VLOOKUP(N$1,test!$A$3:$F$32,2,FALSE)),0)</f>
        <v>0</v>
      </c>
      <c r="O4">
        <f>IF(AND(SUM(VLOOKUP($A4,test!$A$3:$F$32,2,FALSE),VLOOKUP(O$1,test!$A$3:$F$32,2,FALSE))&lt;test!$K$16,$A4&lt;&gt;O$1,feasible_mat!O4=1),SUM(VLOOKUP($A4,test!$A$3:$F$32,2,FALSE),VLOOKUP(O$1,test!$A$3:$F$32,2,FALSE)),0)</f>
        <v>0</v>
      </c>
      <c r="P4">
        <f>IF(AND(SUM(VLOOKUP($A4,test!$A$3:$F$32,2,FALSE),VLOOKUP(P$1,test!$A$3:$F$32,2,FALSE))&lt;test!$K$16,$A4&lt;&gt;P$1,feasible_mat!P4=1),SUM(VLOOKUP($A4,test!$A$3:$F$32,2,FALSE),VLOOKUP(P$1,test!$A$3:$F$32,2,FALSE)),0)</f>
        <v>0</v>
      </c>
      <c r="Q4">
        <f>IF(AND(SUM(VLOOKUP($A4,test!$A$3:$F$32,2,FALSE),VLOOKUP(Q$1,test!$A$3:$F$32,2,FALSE))&lt;test!$K$16,$A4&lt;&gt;Q$1,feasible_mat!Q4=1),SUM(VLOOKUP($A4,test!$A$3:$F$32,2,FALSE),VLOOKUP(Q$1,test!$A$3:$F$32,2,FALSE)),0)</f>
        <v>0</v>
      </c>
      <c r="R4">
        <f>IF(AND(SUM(VLOOKUP($A4,test!$A$3:$F$32,2,FALSE),VLOOKUP(R$1,test!$A$3:$F$32,2,FALSE))&lt;test!$K$16,$A4&lt;&gt;R$1,feasible_mat!R4=1),SUM(VLOOKUP($A4,test!$A$3:$F$32,2,FALSE),VLOOKUP(R$1,test!$A$3:$F$32,2,FALSE)),0)</f>
        <v>0</v>
      </c>
      <c r="S4">
        <f>IF(AND(SUM(VLOOKUP($A4,test!$A$3:$F$32,2,FALSE),VLOOKUP(S$1,test!$A$3:$F$32,2,FALSE))&lt;test!$K$16,$A4&lt;&gt;S$1,feasible_mat!S4=1),SUM(VLOOKUP($A4,test!$A$3:$F$32,2,FALSE),VLOOKUP(S$1,test!$A$3:$F$32,2,FALSE)),0)</f>
        <v>0</v>
      </c>
      <c r="T4">
        <f>IF(AND(SUM(VLOOKUP($A4,test!$A$3:$F$32,2,FALSE),VLOOKUP(T$1,test!$A$3:$F$32,2,FALSE))&lt;test!$K$16,$A4&lt;&gt;T$1,feasible_mat!T4=1),SUM(VLOOKUP($A4,test!$A$3:$F$32,2,FALSE),VLOOKUP(T$1,test!$A$3:$F$32,2,FALSE)),0)</f>
        <v>0</v>
      </c>
      <c r="U4">
        <f>IF(AND(SUM(VLOOKUP($A4,test!$A$3:$F$32,2,FALSE),VLOOKUP(U$1,test!$A$3:$F$32,2,FALSE))&lt;test!$K$16,$A4&lt;&gt;U$1,feasible_mat!U4=1),SUM(VLOOKUP($A4,test!$A$3:$F$32,2,FALSE),VLOOKUP(U$1,test!$A$3:$F$32,2,FALSE)),0)</f>
        <v>270</v>
      </c>
      <c r="V4">
        <f>IF(AND(SUM(VLOOKUP($A4,test!$A$3:$F$32,2,FALSE),VLOOKUP(V$1,test!$A$3:$F$32,2,FALSE))&lt;test!$K$16,$A4&lt;&gt;V$1,feasible_mat!V4=1),SUM(VLOOKUP($A4,test!$A$3:$F$32,2,FALSE),VLOOKUP(V$1,test!$A$3:$F$32,2,FALSE)),0)</f>
        <v>270</v>
      </c>
      <c r="W4">
        <f>IF(AND(SUM(VLOOKUP($A4,test!$A$3:$F$32,2,FALSE),VLOOKUP(W$1,test!$A$3:$F$32,2,FALSE))&lt;test!$K$16,$A4&lt;&gt;W$1,feasible_mat!W4=1),SUM(VLOOKUP($A4,test!$A$3:$F$32,2,FALSE),VLOOKUP(W$1,test!$A$3:$F$32,2,FALSE)),0)</f>
        <v>270</v>
      </c>
      <c r="X4">
        <f>IF(AND(SUM(VLOOKUP($A4,test!$A$3:$F$32,2,FALSE),VLOOKUP(X$1,test!$A$3:$F$32,2,FALSE))&lt;test!$K$16,$A4&lt;&gt;X$1,feasible_mat!X4=1),SUM(VLOOKUP($A4,test!$A$3:$F$32,2,FALSE),VLOOKUP(X$1,test!$A$3:$F$32,2,FALSE)),0)</f>
        <v>270</v>
      </c>
      <c r="Y4">
        <f>IF(AND(SUM(VLOOKUP($A4,test!$A$3:$F$32,2,FALSE),VLOOKUP(Y$1,test!$A$3:$F$32,2,FALSE))&lt;test!$K$16,$A4&lt;&gt;Y$1,feasible_mat!Y4=1),SUM(VLOOKUP($A4,test!$A$3:$F$32,2,FALSE),VLOOKUP(Y$1,test!$A$3:$F$32,2,FALSE)),0)</f>
        <v>0</v>
      </c>
      <c r="Z4">
        <f>IF(AND(SUM(VLOOKUP($A4,test!$A$3:$F$32,2,FALSE),VLOOKUP(Z$1,test!$A$3:$F$32,2,FALSE))&lt;test!$K$16,$A4&lt;&gt;Z$1,feasible_mat!Z4=1),SUM(VLOOKUP($A4,test!$A$3:$F$32,2,FALSE),VLOOKUP(Z$1,test!$A$3:$F$32,2,FALSE)),0)</f>
        <v>0</v>
      </c>
      <c r="AA4">
        <f>IF(AND(SUM(VLOOKUP($A4,test!$A$3:$F$32,2,FALSE),VLOOKUP(AA$1,test!$A$3:$F$32,2,FALSE))&lt;test!$K$16,$A4&lt;&gt;AA$1,feasible_mat!AA4=1),SUM(VLOOKUP($A4,test!$A$3:$F$32,2,FALSE),VLOOKUP(AA$1,test!$A$3:$F$32,2,FALSE)),0)</f>
        <v>0</v>
      </c>
      <c r="AB4">
        <f>IF(AND(SUM(VLOOKUP($A4,test!$A$3:$F$32,2,FALSE),VLOOKUP(AB$1,test!$A$3:$F$32,2,FALSE))&lt;test!$K$16,$A4&lt;&gt;AB$1,feasible_mat!AB4=1),SUM(VLOOKUP($A4,test!$A$3:$F$32,2,FALSE),VLOOKUP(AB$1,test!$A$3:$F$32,2,FALSE)),0)</f>
        <v>0</v>
      </c>
      <c r="AC4">
        <f>IF(AND(SUM(VLOOKUP($A4,test!$A$3:$F$32,2,FALSE),VLOOKUP(AC$1,test!$A$3:$F$32,2,FALSE))&lt;test!$K$16,$A4&lt;&gt;AC$1,feasible_mat!AC4=1),SUM(VLOOKUP($A4,test!$A$3:$F$32,2,FALSE),VLOOKUP(AC$1,test!$A$3:$F$32,2,FALSE)),0)</f>
        <v>0</v>
      </c>
      <c r="AD4">
        <f>IF(AND(SUM(VLOOKUP($A4,test!$A$3:$F$32,2,FALSE),VLOOKUP(AD$1,test!$A$3:$F$32,2,FALSE))&lt;test!$K$16,$A4&lt;&gt;AD$1,feasible_mat!AD4=1),SUM(VLOOKUP($A4,test!$A$3:$F$32,2,FALSE),VLOOKUP(AD$1,test!$A$3:$F$32,2,FALSE)),0)</f>
        <v>0</v>
      </c>
      <c r="AE4">
        <f>IF(AND(SUM(VLOOKUP($A4,test!$A$3:$F$32,2,FALSE),VLOOKUP(AE$1,test!$A$3:$F$32,2,FALSE))&lt;test!$K$16,$A4&lt;&gt;AE$1,feasible_mat!AE4=1),SUM(VLOOKUP($A4,test!$A$3:$F$32,2,FALSE),VLOOKUP(AE$1,test!$A$3:$F$32,2,FALSE)),0)</f>
        <v>0</v>
      </c>
      <c r="AF4">
        <f>IF(AND(SUM(VLOOKUP($A4,test!$A$3:$F$32,2,FALSE),VLOOKUP(AF$1,test!$A$3:$F$32,2,FALSE))&lt;test!$K$16,$A4&lt;&gt;AF$1,feasible_mat!AF4=1),SUM(VLOOKUP($A4,test!$A$3:$F$32,2,FALSE),VLOOKUP(AF$1,test!$A$3:$F$32,2,FALSE)),0)</f>
        <v>0</v>
      </c>
      <c r="AG4">
        <v>60</v>
      </c>
      <c r="AH4">
        <v>75</v>
      </c>
      <c r="AI4">
        <v>70</v>
      </c>
    </row>
    <row r="5" spans="1:35" x14ac:dyDescent="0.25">
      <c r="A5" t="s">
        <v>10</v>
      </c>
      <c r="B5">
        <v>0</v>
      </c>
      <c r="C5">
        <f>IF(AND(SUM(VLOOKUP($A5,test!$A$3:$F$32,2,FALSE),VLOOKUP(C$1,test!$A$3:$F$32,2,FALSE))&lt;test!$K$16,$A5&lt;&gt;C$1,feasible_mat!C5=1),SUM(VLOOKUP($A5,test!$A$3:$F$32,2,FALSE),VLOOKUP(C$1,test!$A$3:$F$32,2,FALSE)),0)</f>
        <v>0</v>
      </c>
      <c r="D5">
        <f>IF(AND(SUM(VLOOKUP($A5,test!$A$3:$F$32,2,FALSE),VLOOKUP(D$1,test!$A$3:$F$32,2,FALSE))&lt;test!$K$16,$A5&lt;&gt;D$1,feasible_mat!D5=1),SUM(VLOOKUP($A5,test!$A$3:$F$32,2,FALSE),VLOOKUP(D$1,test!$A$3:$F$32,2,FALSE)),0)</f>
        <v>0</v>
      </c>
      <c r="E5">
        <f>IF(AND(SUM(VLOOKUP($A5,test!$A$3:$F$32,2,FALSE),VLOOKUP(E$1,test!$A$3:$F$32,2,FALSE))&lt;test!$K$16,$A5&lt;&gt;E$1,feasible_mat!E5=1),SUM(VLOOKUP($A5,test!$A$3:$F$32,2,FALSE),VLOOKUP(E$1,test!$A$3:$F$32,2,FALSE)),0)</f>
        <v>0</v>
      </c>
      <c r="F5">
        <f>IF(AND(SUM(VLOOKUP($A5,test!$A$3:$F$32,2,FALSE),VLOOKUP(F$1,test!$A$3:$F$32,2,FALSE))&lt;test!$K$16,$A5&lt;&gt;F$1,feasible_mat!F5=1),SUM(VLOOKUP($A5,test!$A$3:$F$32,2,FALSE),VLOOKUP(F$1,test!$A$3:$F$32,2,FALSE)),0)</f>
        <v>0</v>
      </c>
      <c r="G5">
        <f>IF(AND(SUM(VLOOKUP($A5,test!$A$3:$F$32,2,FALSE),VLOOKUP(G$1,test!$A$3:$F$32,2,FALSE))&lt;test!$K$16,$A5&lt;&gt;G$1,feasible_mat!G5=1),SUM(VLOOKUP($A5,test!$A$3:$F$32,2,FALSE),VLOOKUP(G$1,test!$A$3:$F$32,2,FALSE)),0)</f>
        <v>0</v>
      </c>
      <c r="H5">
        <f>IF(AND(SUM(VLOOKUP($A5,test!$A$3:$F$32,2,FALSE),VLOOKUP(H$1,test!$A$3:$F$32,2,FALSE))&lt;test!$K$16,$A5&lt;&gt;H$1,feasible_mat!H5=1),SUM(VLOOKUP($A5,test!$A$3:$F$32,2,FALSE),VLOOKUP(H$1,test!$A$3:$F$32,2,FALSE)),0)</f>
        <v>0</v>
      </c>
      <c r="I5">
        <f>IF(AND(SUM(VLOOKUP($A5,test!$A$3:$F$32,2,FALSE),VLOOKUP(I$1,test!$A$3:$F$32,2,FALSE))&lt;test!$K$16,$A5&lt;&gt;I$1,feasible_mat!I5=1),SUM(VLOOKUP($A5,test!$A$3:$F$32,2,FALSE),VLOOKUP(I$1,test!$A$3:$F$32,2,FALSE)),0)</f>
        <v>0</v>
      </c>
      <c r="J5">
        <f>IF(AND(SUM(VLOOKUP($A5,test!$A$3:$F$32,2,FALSE),VLOOKUP(J$1,test!$A$3:$F$32,2,FALSE))&lt;test!$K$16,$A5&lt;&gt;J$1,feasible_mat!J5=1),SUM(VLOOKUP($A5,test!$A$3:$F$32,2,FALSE),VLOOKUP(J$1,test!$A$3:$F$32,2,FALSE)),0)</f>
        <v>0</v>
      </c>
      <c r="K5">
        <f>IF(AND(SUM(VLOOKUP($A5,test!$A$3:$F$32,2,FALSE),VLOOKUP(K$1,test!$A$3:$F$32,2,FALSE))&lt;test!$K$16,$A5&lt;&gt;K$1,feasible_mat!K5=1),SUM(VLOOKUP($A5,test!$A$3:$F$32,2,FALSE),VLOOKUP(K$1,test!$A$3:$F$32,2,FALSE)),0)</f>
        <v>0</v>
      </c>
      <c r="L5">
        <f>IF(AND(SUM(VLOOKUP($A5,test!$A$3:$F$32,2,FALSE),VLOOKUP(L$1,test!$A$3:$F$32,2,FALSE))&lt;test!$K$16,$A5&lt;&gt;L$1,feasible_mat!L5=1),SUM(VLOOKUP($A5,test!$A$3:$F$32,2,FALSE),VLOOKUP(L$1,test!$A$3:$F$32,2,FALSE)),0)</f>
        <v>0</v>
      </c>
      <c r="M5">
        <f>IF(AND(SUM(VLOOKUP($A5,test!$A$3:$F$32,2,FALSE),VLOOKUP(M$1,test!$A$3:$F$32,2,FALSE))&lt;test!$K$16,$A5&lt;&gt;M$1,feasible_mat!M5=1),SUM(VLOOKUP($A5,test!$A$3:$F$32,2,FALSE),VLOOKUP(M$1,test!$A$3:$F$32,2,FALSE)),0)</f>
        <v>0</v>
      </c>
      <c r="N5">
        <f>IF(AND(SUM(VLOOKUP($A5,test!$A$3:$F$32,2,FALSE),VLOOKUP(N$1,test!$A$3:$F$32,2,FALSE))&lt;test!$K$16,$A5&lt;&gt;N$1,feasible_mat!N5=1),SUM(VLOOKUP($A5,test!$A$3:$F$32,2,FALSE),VLOOKUP(N$1,test!$A$3:$F$32,2,FALSE)),0)</f>
        <v>0</v>
      </c>
      <c r="O5">
        <f>IF(AND(SUM(VLOOKUP($A5,test!$A$3:$F$32,2,FALSE),VLOOKUP(O$1,test!$A$3:$F$32,2,FALSE))&lt;test!$K$16,$A5&lt;&gt;O$1,feasible_mat!O5=1),SUM(VLOOKUP($A5,test!$A$3:$F$32,2,FALSE),VLOOKUP(O$1,test!$A$3:$F$32,2,FALSE)),0)</f>
        <v>0</v>
      </c>
      <c r="P5">
        <f>IF(AND(SUM(VLOOKUP($A5,test!$A$3:$F$32,2,FALSE),VLOOKUP(P$1,test!$A$3:$F$32,2,FALSE))&lt;test!$K$16,$A5&lt;&gt;P$1,feasible_mat!P5=1),SUM(VLOOKUP($A5,test!$A$3:$F$32,2,FALSE),VLOOKUP(P$1,test!$A$3:$F$32,2,FALSE)),0)</f>
        <v>0</v>
      </c>
      <c r="Q5">
        <f>IF(AND(SUM(VLOOKUP($A5,test!$A$3:$F$32,2,FALSE),VLOOKUP(Q$1,test!$A$3:$F$32,2,FALSE))&lt;test!$K$16,$A5&lt;&gt;Q$1,feasible_mat!Q5=1),SUM(VLOOKUP($A5,test!$A$3:$F$32,2,FALSE),VLOOKUP(Q$1,test!$A$3:$F$32,2,FALSE)),0)</f>
        <v>0</v>
      </c>
      <c r="R5">
        <f>IF(AND(SUM(VLOOKUP($A5,test!$A$3:$F$32,2,FALSE),VLOOKUP(R$1,test!$A$3:$F$32,2,FALSE))&lt;test!$K$16,$A5&lt;&gt;R$1,feasible_mat!R5=1),SUM(VLOOKUP($A5,test!$A$3:$F$32,2,FALSE),VLOOKUP(R$1,test!$A$3:$F$32,2,FALSE)),0)</f>
        <v>0</v>
      </c>
      <c r="S5">
        <f>IF(AND(SUM(VLOOKUP($A5,test!$A$3:$F$32,2,FALSE),VLOOKUP(S$1,test!$A$3:$F$32,2,FALSE))&lt;test!$K$16,$A5&lt;&gt;S$1,feasible_mat!S5=1),SUM(VLOOKUP($A5,test!$A$3:$F$32,2,FALSE),VLOOKUP(S$1,test!$A$3:$F$32,2,FALSE)),0)</f>
        <v>0</v>
      </c>
      <c r="T5">
        <f>IF(AND(SUM(VLOOKUP($A5,test!$A$3:$F$32,2,FALSE),VLOOKUP(T$1,test!$A$3:$F$32,2,FALSE))&lt;test!$K$16,$A5&lt;&gt;T$1,feasible_mat!T5=1),SUM(VLOOKUP($A5,test!$A$3:$F$32,2,FALSE),VLOOKUP(T$1,test!$A$3:$F$32,2,FALSE)),0)</f>
        <v>0</v>
      </c>
      <c r="U5">
        <f>IF(AND(SUM(VLOOKUP($A5,test!$A$3:$F$32,2,FALSE),VLOOKUP(U$1,test!$A$3:$F$32,2,FALSE))&lt;test!$K$16,$A5&lt;&gt;U$1,feasible_mat!U5=1),SUM(VLOOKUP($A5,test!$A$3:$F$32,2,FALSE),VLOOKUP(U$1,test!$A$3:$F$32,2,FALSE)),0)</f>
        <v>0</v>
      </c>
      <c r="V5">
        <f>IF(AND(SUM(VLOOKUP($A5,test!$A$3:$F$32,2,FALSE),VLOOKUP(V$1,test!$A$3:$F$32,2,FALSE))&lt;test!$K$16,$A5&lt;&gt;V$1,feasible_mat!V5=1),SUM(VLOOKUP($A5,test!$A$3:$F$32,2,FALSE),VLOOKUP(V$1,test!$A$3:$F$32,2,FALSE)),0)</f>
        <v>270</v>
      </c>
      <c r="W5">
        <f>IF(AND(SUM(VLOOKUP($A5,test!$A$3:$F$32,2,FALSE),VLOOKUP(W$1,test!$A$3:$F$32,2,FALSE))&lt;test!$K$16,$A5&lt;&gt;W$1,feasible_mat!W5=1),SUM(VLOOKUP($A5,test!$A$3:$F$32,2,FALSE),VLOOKUP(W$1,test!$A$3:$F$32,2,FALSE)),0)</f>
        <v>270</v>
      </c>
      <c r="X5">
        <f>IF(AND(SUM(VLOOKUP($A5,test!$A$3:$F$32,2,FALSE),VLOOKUP(X$1,test!$A$3:$F$32,2,FALSE))&lt;test!$K$16,$A5&lt;&gt;X$1,feasible_mat!X5=1),SUM(VLOOKUP($A5,test!$A$3:$F$32,2,FALSE),VLOOKUP(X$1,test!$A$3:$F$32,2,FALSE)),0)</f>
        <v>270</v>
      </c>
      <c r="Y5">
        <f>IF(AND(SUM(VLOOKUP($A5,test!$A$3:$F$32,2,FALSE),VLOOKUP(Y$1,test!$A$3:$F$32,2,FALSE))&lt;test!$K$16,$A5&lt;&gt;Y$1,feasible_mat!Y5=1),SUM(VLOOKUP($A5,test!$A$3:$F$32,2,FALSE),VLOOKUP(Y$1,test!$A$3:$F$32,2,FALSE)),0)</f>
        <v>0</v>
      </c>
      <c r="Z5">
        <f>IF(AND(SUM(VLOOKUP($A5,test!$A$3:$F$32,2,FALSE),VLOOKUP(Z$1,test!$A$3:$F$32,2,FALSE))&lt;test!$K$16,$A5&lt;&gt;Z$1,feasible_mat!Z5=1),SUM(VLOOKUP($A5,test!$A$3:$F$32,2,FALSE),VLOOKUP(Z$1,test!$A$3:$F$32,2,FALSE)),0)</f>
        <v>0</v>
      </c>
      <c r="AA5">
        <f>IF(AND(SUM(VLOOKUP($A5,test!$A$3:$F$32,2,FALSE),VLOOKUP(AA$1,test!$A$3:$F$32,2,FALSE))&lt;test!$K$16,$A5&lt;&gt;AA$1,feasible_mat!AA5=1),SUM(VLOOKUP($A5,test!$A$3:$F$32,2,FALSE),VLOOKUP(AA$1,test!$A$3:$F$32,2,FALSE)),0)</f>
        <v>0</v>
      </c>
      <c r="AB5">
        <f>IF(AND(SUM(VLOOKUP($A5,test!$A$3:$F$32,2,FALSE),VLOOKUP(AB$1,test!$A$3:$F$32,2,FALSE))&lt;test!$K$16,$A5&lt;&gt;AB$1,feasible_mat!AB5=1),SUM(VLOOKUP($A5,test!$A$3:$F$32,2,FALSE),VLOOKUP(AB$1,test!$A$3:$F$32,2,FALSE)),0)</f>
        <v>0</v>
      </c>
      <c r="AC5">
        <f>IF(AND(SUM(VLOOKUP($A5,test!$A$3:$F$32,2,FALSE),VLOOKUP(AC$1,test!$A$3:$F$32,2,FALSE))&lt;test!$K$16,$A5&lt;&gt;AC$1,feasible_mat!AC5=1),SUM(VLOOKUP($A5,test!$A$3:$F$32,2,FALSE),VLOOKUP(AC$1,test!$A$3:$F$32,2,FALSE)),0)</f>
        <v>0</v>
      </c>
      <c r="AD5">
        <f>IF(AND(SUM(VLOOKUP($A5,test!$A$3:$F$32,2,FALSE),VLOOKUP(AD$1,test!$A$3:$F$32,2,FALSE))&lt;test!$K$16,$A5&lt;&gt;AD$1,feasible_mat!AD5=1),SUM(VLOOKUP($A5,test!$A$3:$F$32,2,FALSE),VLOOKUP(AD$1,test!$A$3:$F$32,2,FALSE)),0)</f>
        <v>0</v>
      </c>
      <c r="AE5">
        <f>IF(AND(SUM(VLOOKUP($A5,test!$A$3:$F$32,2,FALSE),VLOOKUP(AE$1,test!$A$3:$F$32,2,FALSE))&lt;test!$K$16,$A5&lt;&gt;AE$1,feasible_mat!AE5=1),SUM(VLOOKUP($A5,test!$A$3:$F$32,2,FALSE),VLOOKUP(AE$1,test!$A$3:$F$32,2,FALSE)),0)</f>
        <v>0</v>
      </c>
      <c r="AF5">
        <f>IF(AND(SUM(VLOOKUP($A5,test!$A$3:$F$32,2,FALSE),VLOOKUP(AF$1,test!$A$3:$F$32,2,FALSE))&lt;test!$K$16,$A5&lt;&gt;AF$1,feasible_mat!AF5=1),SUM(VLOOKUP($A5,test!$A$3:$F$32,2,FALSE),VLOOKUP(AF$1,test!$A$3:$F$32,2,FALSE)),0)</f>
        <v>0</v>
      </c>
      <c r="AG5">
        <v>60</v>
      </c>
      <c r="AH5">
        <v>75</v>
      </c>
      <c r="AI5">
        <v>70</v>
      </c>
    </row>
    <row r="6" spans="1:35" x14ac:dyDescent="0.25">
      <c r="A6" t="s">
        <v>11</v>
      </c>
      <c r="B6">
        <v>0</v>
      </c>
      <c r="C6">
        <f>IF(AND(SUM(VLOOKUP($A6,test!$A$3:$F$32,2,FALSE),VLOOKUP(C$1,test!$A$3:$F$32,2,FALSE))&lt;test!$K$16,$A6&lt;&gt;C$1,feasible_mat!C6=1),SUM(VLOOKUP($A6,test!$A$3:$F$32,2,FALSE),VLOOKUP(C$1,test!$A$3:$F$32,2,FALSE)),0)</f>
        <v>0</v>
      </c>
      <c r="D6">
        <f>IF(AND(SUM(VLOOKUP($A6,test!$A$3:$F$32,2,FALSE),VLOOKUP(D$1,test!$A$3:$F$32,2,FALSE))&lt;test!$K$16,$A6&lt;&gt;D$1,feasible_mat!D6=1),SUM(VLOOKUP($A6,test!$A$3:$F$32,2,FALSE),VLOOKUP(D$1,test!$A$3:$F$32,2,FALSE)),0)</f>
        <v>0</v>
      </c>
      <c r="E6">
        <f>IF(AND(SUM(VLOOKUP($A6,test!$A$3:$F$32,2,FALSE),VLOOKUP(E$1,test!$A$3:$F$32,2,FALSE))&lt;test!$K$16,$A6&lt;&gt;E$1,feasible_mat!E6=1),SUM(VLOOKUP($A6,test!$A$3:$F$32,2,FALSE),VLOOKUP(E$1,test!$A$3:$F$32,2,FALSE)),0)</f>
        <v>0</v>
      </c>
      <c r="F6">
        <f>IF(AND(SUM(VLOOKUP($A6,test!$A$3:$F$32,2,FALSE),VLOOKUP(F$1,test!$A$3:$F$32,2,FALSE))&lt;test!$K$16,$A6&lt;&gt;F$1,feasible_mat!F6=1),SUM(VLOOKUP($A6,test!$A$3:$F$32,2,FALSE),VLOOKUP(F$1,test!$A$3:$F$32,2,FALSE)),0)</f>
        <v>0</v>
      </c>
      <c r="G6">
        <f>IF(AND(SUM(VLOOKUP($A6,test!$A$3:$F$32,2,FALSE),VLOOKUP(G$1,test!$A$3:$F$32,2,FALSE))&lt;test!$K$16,$A6&lt;&gt;G$1,feasible_mat!G6=1),SUM(VLOOKUP($A6,test!$A$3:$F$32,2,FALSE),VLOOKUP(G$1,test!$A$3:$F$32,2,FALSE)),0)</f>
        <v>0</v>
      </c>
      <c r="H6">
        <f>IF(AND(SUM(VLOOKUP($A6,test!$A$3:$F$32,2,FALSE),VLOOKUP(H$1,test!$A$3:$F$32,2,FALSE))&lt;test!$K$16,$A6&lt;&gt;H$1,feasible_mat!H6=1),SUM(VLOOKUP($A6,test!$A$3:$F$32,2,FALSE),VLOOKUP(H$1,test!$A$3:$F$32,2,FALSE)),0)</f>
        <v>0</v>
      </c>
      <c r="I6">
        <f>IF(AND(SUM(VLOOKUP($A6,test!$A$3:$F$32,2,FALSE),VLOOKUP(I$1,test!$A$3:$F$32,2,FALSE))&lt;test!$K$16,$A6&lt;&gt;I$1,feasible_mat!I6=1),SUM(VLOOKUP($A6,test!$A$3:$F$32,2,FALSE),VLOOKUP(I$1,test!$A$3:$F$32,2,FALSE)),0)</f>
        <v>0</v>
      </c>
      <c r="J6">
        <f>IF(AND(SUM(VLOOKUP($A6,test!$A$3:$F$32,2,FALSE),VLOOKUP(J$1,test!$A$3:$F$32,2,FALSE))&lt;test!$K$16,$A6&lt;&gt;J$1,feasible_mat!J6=1),SUM(VLOOKUP($A6,test!$A$3:$F$32,2,FALSE),VLOOKUP(J$1,test!$A$3:$F$32,2,FALSE)),0)</f>
        <v>0</v>
      </c>
      <c r="K6">
        <f>IF(AND(SUM(VLOOKUP($A6,test!$A$3:$F$32,2,FALSE),VLOOKUP(K$1,test!$A$3:$F$32,2,FALSE))&lt;test!$K$16,$A6&lt;&gt;K$1,feasible_mat!K6=1),SUM(VLOOKUP($A6,test!$A$3:$F$32,2,FALSE),VLOOKUP(K$1,test!$A$3:$F$32,2,FALSE)),0)</f>
        <v>0</v>
      </c>
      <c r="L6">
        <f>IF(AND(SUM(VLOOKUP($A6,test!$A$3:$F$32,2,FALSE),VLOOKUP(L$1,test!$A$3:$F$32,2,FALSE))&lt;test!$K$16,$A6&lt;&gt;L$1,feasible_mat!L6=1),SUM(VLOOKUP($A6,test!$A$3:$F$32,2,FALSE),VLOOKUP(L$1,test!$A$3:$F$32,2,FALSE)),0)</f>
        <v>0</v>
      </c>
      <c r="M6">
        <f>IF(AND(SUM(VLOOKUP($A6,test!$A$3:$F$32,2,FALSE),VLOOKUP(M$1,test!$A$3:$F$32,2,FALSE))&lt;test!$K$16,$A6&lt;&gt;M$1,feasible_mat!M6=1),SUM(VLOOKUP($A6,test!$A$3:$F$32,2,FALSE),VLOOKUP(M$1,test!$A$3:$F$32,2,FALSE)),0)</f>
        <v>0</v>
      </c>
      <c r="N6">
        <f>IF(AND(SUM(VLOOKUP($A6,test!$A$3:$F$32,2,FALSE),VLOOKUP(N$1,test!$A$3:$F$32,2,FALSE))&lt;test!$K$16,$A6&lt;&gt;N$1,feasible_mat!N6=1),SUM(VLOOKUP($A6,test!$A$3:$F$32,2,FALSE),VLOOKUP(N$1,test!$A$3:$F$32,2,FALSE)),0)</f>
        <v>0</v>
      </c>
      <c r="O6">
        <f>IF(AND(SUM(VLOOKUP($A6,test!$A$3:$F$32,2,FALSE),VLOOKUP(O$1,test!$A$3:$F$32,2,FALSE))&lt;test!$K$16,$A6&lt;&gt;O$1,feasible_mat!O6=1),SUM(VLOOKUP($A6,test!$A$3:$F$32,2,FALSE),VLOOKUP(O$1,test!$A$3:$F$32,2,FALSE)),0)</f>
        <v>0</v>
      </c>
      <c r="P6">
        <f>IF(AND(SUM(VLOOKUP($A6,test!$A$3:$F$32,2,FALSE),VLOOKUP(P$1,test!$A$3:$F$32,2,FALSE))&lt;test!$K$16,$A6&lt;&gt;P$1,feasible_mat!P6=1),SUM(VLOOKUP($A6,test!$A$3:$F$32,2,FALSE),VLOOKUP(P$1,test!$A$3:$F$32,2,FALSE)),0)</f>
        <v>0</v>
      </c>
      <c r="Q6">
        <f>IF(AND(SUM(VLOOKUP($A6,test!$A$3:$F$32,2,FALSE),VLOOKUP(Q$1,test!$A$3:$F$32,2,FALSE))&lt;test!$K$16,$A6&lt;&gt;Q$1,feasible_mat!Q6=1),SUM(VLOOKUP($A6,test!$A$3:$F$32,2,FALSE),VLOOKUP(Q$1,test!$A$3:$F$32,2,FALSE)),0)</f>
        <v>0</v>
      </c>
      <c r="R6">
        <f>IF(AND(SUM(VLOOKUP($A6,test!$A$3:$F$32,2,FALSE),VLOOKUP(R$1,test!$A$3:$F$32,2,FALSE))&lt;test!$K$16,$A6&lt;&gt;R$1,feasible_mat!R6=1),SUM(VLOOKUP($A6,test!$A$3:$F$32,2,FALSE),VLOOKUP(R$1,test!$A$3:$F$32,2,FALSE)),0)</f>
        <v>0</v>
      </c>
      <c r="S6">
        <f>IF(AND(SUM(VLOOKUP($A6,test!$A$3:$F$32,2,FALSE),VLOOKUP(S$1,test!$A$3:$F$32,2,FALSE))&lt;test!$K$16,$A6&lt;&gt;S$1,feasible_mat!S6=1),SUM(VLOOKUP($A6,test!$A$3:$F$32,2,FALSE),VLOOKUP(S$1,test!$A$3:$F$32,2,FALSE)),0)</f>
        <v>0</v>
      </c>
      <c r="T6">
        <f>IF(AND(SUM(VLOOKUP($A6,test!$A$3:$F$32,2,FALSE),VLOOKUP(T$1,test!$A$3:$F$32,2,FALSE))&lt;test!$K$16,$A6&lt;&gt;T$1,feasible_mat!T6=1),SUM(VLOOKUP($A6,test!$A$3:$F$32,2,FALSE),VLOOKUP(T$1,test!$A$3:$F$32,2,FALSE)),0)</f>
        <v>0</v>
      </c>
      <c r="U6">
        <f>IF(AND(SUM(VLOOKUP($A6,test!$A$3:$F$32,2,FALSE),VLOOKUP(U$1,test!$A$3:$F$32,2,FALSE))&lt;test!$K$16,$A6&lt;&gt;U$1,feasible_mat!U6=1),SUM(VLOOKUP($A6,test!$A$3:$F$32,2,FALSE),VLOOKUP(U$1,test!$A$3:$F$32,2,FALSE)),0)</f>
        <v>0</v>
      </c>
      <c r="V6">
        <f>IF(AND(SUM(VLOOKUP($A6,test!$A$3:$F$32,2,FALSE),VLOOKUP(V$1,test!$A$3:$F$32,2,FALSE))&lt;test!$K$16,$A6&lt;&gt;V$1,feasible_mat!V6=1),SUM(VLOOKUP($A6,test!$A$3:$F$32,2,FALSE),VLOOKUP(V$1,test!$A$3:$F$32,2,FALSE)),0)</f>
        <v>0</v>
      </c>
      <c r="W6">
        <f>IF(AND(SUM(VLOOKUP($A6,test!$A$3:$F$32,2,FALSE),VLOOKUP(W$1,test!$A$3:$F$32,2,FALSE))&lt;test!$K$16,$A6&lt;&gt;W$1,feasible_mat!W6=1),SUM(VLOOKUP($A6,test!$A$3:$F$32,2,FALSE),VLOOKUP(W$1,test!$A$3:$F$32,2,FALSE)),0)</f>
        <v>270</v>
      </c>
      <c r="X6">
        <f>IF(AND(SUM(VLOOKUP($A6,test!$A$3:$F$32,2,FALSE),VLOOKUP(X$1,test!$A$3:$F$32,2,FALSE))&lt;test!$K$16,$A6&lt;&gt;X$1,feasible_mat!X6=1),SUM(VLOOKUP($A6,test!$A$3:$F$32,2,FALSE),VLOOKUP(X$1,test!$A$3:$F$32,2,FALSE)),0)</f>
        <v>270</v>
      </c>
      <c r="Y6">
        <f>IF(AND(SUM(VLOOKUP($A6,test!$A$3:$F$32,2,FALSE),VLOOKUP(Y$1,test!$A$3:$F$32,2,FALSE))&lt;test!$K$16,$A6&lt;&gt;Y$1,feasible_mat!Y6=1),SUM(VLOOKUP($A6,test!$A$3:$F$32,2,FALSE),VLOOKUP(Y$1,test!$A$3:$F$32,2,FALSE)),0)</f>
        <v>0</v>
      </c>
      <c r="Z6">
        <f>IF(AND(SUM(VLOOKUP($A6,test!$A$3:$F$32,2,FALSE),VLOOKUP(Z$1,test!$A$3:$F$32,2,FALSE))&lt;test!$K$16,$A6&lt;&gt;Z$1,feasible_mat!Z6=1),SUM(VLOOKUP($A6,test!$A$3:$F$32,2,FALSE),VLOOKUP(Z$1,test!$A$3:$F$32,2,FALSE)),0)</f>
        <v>0</v>
      </c>
      <c r="AA6">
        <f>IF(AND(SUM(VLOOKUP($A6,test!$A$3:$F$32,2,FALSE),VLOOKUP(AA$1,test!$A$3:$F$32,2,FALSE))&lt;test!$K$16,$A6&lt;&gt;AA$1,feasible_mat!AA6=1),SUM(VLOOKUP($A6,test!$A$3:$F$32,2,FALSE),VLOOKUP(AA$1,test!$A$3:$F$32,2,FALSE)),0)</f>
        <v>0</v>
      </c>
      <c r="AB6">
        <f>IF(AND(SUM(VLOOKUP($A6,test!$A$3:$F$32,2,FALSE),VLOOKUP(AB$1,test!$A$3:$F$32,2,FALSE))&lt;test!$K$16,$A6&lt;&gt;AB$1,feasible_mat!AB6=1),SUM(VLOOKUP($A6,test!$A$3:$F$32,2,FALSE),VLOOKUP(AB$1,test!$A$3:$F$32,2,FALSE)),0)</f>
        <v>0</v>
      </c>
      <c r="AC6">
        <f>IF(AND(SUM(VLOOKUP($A6,test!$A$3:$F$32,2,FALSE),VLOOKUP(AC$1,test!$A$3:$F$32,2,FALSE))&lt;test!$K$16,$A6&lt;&gt;AC$1,feasible_mat!AC6=1),SUM(VLOOKUP($A6,test!$A$3:$F$32,2,FALSE),VLOOKUP(AC$1,test!$A$3:$F$32,2,FALSE)),0)</f>
        <v>0</v>
      </c>
      <c r="AD6">
        <f>IF(AND(SUM(VLOOKUP($A6,test!$A$3:$F$32,2,FALSE),VLOOKUP(AD$1,test!$A$3:$F$32,2,FALSE))&lt;test!$K$16,$A6&lt;&gt;AD$1,feasible_mat!AD6=1),SUM(VLOOKUP($A6,test!$A$3:$F$32,2,FALSE),VLOOKUP(AD$1,test!$A$3:$F$32,2,FALSE)),0)</f>
        <v>0</v>
      </c>
      <c r="AE6">
        <f>IF(AND(SUM(VLOOKUP($A6,test!$A$3:$F$32,2,FALSE),VLOOKUP(AE$1,test!$A$3:$F$32,2,FALSE))&lt;test!$K$16,$A6&lt;&gt;AE$1,feasible_mat!AE6=1),SUM(VLOOKUP($A6,test!$A$3:$F$32,2,FALSE),VLOOKUP(AE$1,test!$A$3:$F$32,2,FALSE)),0)</f>
        <v>0</v>
      </c>
      <c r="AF6">
        <f>IF(AND(SUM(VLOOKUP($A6,test!$A$3:$F$32,2,FALSE),VLOOKUP(AF$1,test!$A$3:$F$32,2,FALSE))&lt;test!$K$16,$A6&lt;&gt;AF$1,feasible_mat!AF6=1),SUM(VLOOKUP($A6,test!$A$3:$F$32,2,FALSE),VLOOKUP(AF$1,test!$A$3:$F$32,2,FALSE)),0)</f>
        <v>0</v>
      </c>
      <c r="AG6">
        <v>60</v>
      </c>
      <c r="AH6">
        <v>75</v>
      </c>
      <c r="AI6">
        <v>70</v>
      </c>
    </row>
    <row r="7" spans="1:35" x14ac:dyDescent="0.25">
      <c r="A7" t="s">
        <v>12</v>
      </c>
      <c r="B7">
        <v>0</v>
      </c>
      <c r="C7">
        <f>IF(AND(SUM(VLOOKUP($A7,test!$A$3:$F$32,2,FALSE),VLOOKUP(C$1,test!$A$3:$F$32,2,FALSE))&lt;test!$K$16,$A7&lt;&gt;C$1,feasible_mat!C7=1),SUM(VLOOKUP($A7,test!$A$3:$F$32,2,FALSE),VLOOKUP(C$1,test!$A$3:$F$32,2,FALSE)),0)</f>
        <v>0</v>
      </c>
      <c r="D7">
        <f>IF(AND(SUM(VLOOKUP($A7,test!$A$3:$F$32,2,FALSE),VLOOKUP(D$1,test!$A$3:$F$32,2,FALSE))&lt;test!$K$16,$A7&lt;&gt;D$1,feasible_mat!D7=1),SUM(VLOOKUP($A7,test!$A$3:$F$32,2,FALSE),VLOOKUP(D$1,test!$A$3:$F$32,2,FALSE)),0)</f>
        <v>0</v>
      </c>
      <c r="E7">
        <f>IF(AND(SUM(VLOOKUP($A7,test!$A$3:$F$32,2,FALSE),VLOOKUP(E$1,test!$A$3:$F$32,2,FALSE))&lt;test!$K$16,$A7&lt;&gt;E$1,feasible_mat!E7=1),SUM(VLOOKUP($A7,test!$A$3:$F$32,2,FALSE),VLOOKUP(E$1,test!$A$3:$F$32,2,FALSE)),0)</f>
        <v>0</v>
      </c>
      <c r="F7">
        <f>IF(AND(SUM(VLOOKUP($A7,test!$A$3:$F$32,2,FALSE),VLOOKUP(F$1,test!$A$3:$F$32,2,FALSE))&lt;test!$K$16,$A7&lt;&gt;F$1,feasible_mat!F7=1),SUM(VLOOKUP($A7,test!$A$3:$F$32,2,FALSE),VLOOKUP(F$1,test!$A$3:$F$32,2,FALSE)),0)</f>
        <v>0</v>
      </c>
      <c r="G7">
        <f>IF(AND(SUM(VLOOKUP($A7,test!$A$3:$F$32,2,FALSE),VLOOKUP(G$1,test!$A$3:$F$32,2,FALSE))&lt;test!$K$16,$A7&lt;&gt;G$1,feasible_mat!G7=1),SUM(VLOOKUP($A7,test!$A$3:$F$32,2,FALSE),VLOOKUP(G$1,test!$A$3:$F$32,2,FALSE)),0)</f>
        <v>0</v>
      </c>
      <c r="H7">
        <f>IF(AND(SUM(VLOOKUP($A7,test!$A$3:$F$32,2,FALSE),VLOOKUP(H$1,test!$A$3:$F$32,2,FALSE))&lt;test!$K$16,$A7&lt;&gt;H$1,feasible_mat!H7=1),SUM(VLOOKUP($A7,test!$A$3:$F$32,2,FALSE),VLOOKUP(H$1,test!$A$3:$F$32,2,FALSE)),0)</f>
        <v>0</v>
      </c>
      <c r="I7">
        <f>IF(AND(SUM(VLOOKUP($A7,test!$A$3:$F$32,2,FALSE),VLOOKUP(I$1,test!$A$3:$F$32,2,FALSE))&lt;test!$K$16,$A7&lt;&gt;I$1,feasible_mat!I7=1),SUM(VLOOKUP($A7,test!$A$3:$F$32,2,FALSE),VLOOKUP(I$1,test!$A$3:$F$32,2,FALSE)),0)</f>
        <v>0</v>
      </c>
      <c r="J7">
        <f>IF(AND(SUM(VLOOKUP($A7,test!$A$3:$F$32,2,FALSE),VLOOKUP(J$1,test!$A$3:$F$32,2,FALSE))&lt;test!$K$16,$A7&lt;&gt;J$1,feasible_mat!J7=1),SUM(VLOOKUP($A7,test!$A$3:$F$32,2,FALSE),VLOOKUP(J$1,test!$A$3:$F$32,2,FALSE)),0)</f>
        <v>0</v>
      </c>
      <c r="K7">
        <f>IF(AND(SUM(VLOOKUP($A7,test!$A$3:$F$32,2,FALSE),VLOOKUP(K$1,test!$A$3:$F$32,2,FALSE))&lt;test!$K$16,$A7&lt;&gt;K$1,feasible_mat!K7=1),SUM(VLOOKUP($A7,test!$A$3:$F$32,2,FALSE),VLOOKUP(K$1,test!$A$3:$F$32,2,FALSE)),0)</f>
        <v>0</v>
      </c>
      <c r="L7">
        <f>IF(AND(SUM(VLOOKUP($A7,test!$A$3:$F$32,2,FALSE),VLOOKUP(L$1,test!$A$3:$F$32,2,FALSE))&lt;test!$K$16,$A7&lt;&gt;L$1,feasible_mat!L7=1),SUM(VLOOKUP($A7,test!$A$3:$F$32,2,FALSE),VLOOKUP(L$1,test!$A$3:$F$32,2,FALSE)),0)</f>
        <v>0</v>
      </c>
      <c r="M7">
        <f>IF(AND(SUM(VLOOKUP($A7,test!$A$3:$F$32,2,FALSE),VLOOKUP(M$1,test!$A$3:$F$32,2,FALSE))&lt;test!$K$16,$A7&lt;&gt;M$1,feasible_mat!M7=1),SUM(VLOOKUP($A7,test!$A$3:$F$32,2,FALSE),VLOOKUP(M$1,test!$A$3:$F$32,2,FALSE)),0)</f>
        <v>0</v>
      </c>
      <c r="N7">
        <f>IF(AND(SUM(VLOOKUP($A7,test!$A$3:$F$32,2,FALSE),VLOOKUP(N$1,test!$A$3:$F$32,2,FALSE))&lt;test!$K$16,$A7&lt;&gt;N$1,feasible_mat!N7=1),SUM(VLOOKUP($A7,test!$A$3:$F$32,2,FALSE),VLOOKUP(N$1,test!$A$3:$F$32,2,FALSE)),0)</f>
        <v>0</v>
      </c>
      <c r="O7">
        <f>IF(AND(SUM(VLOOKUP($A7,test!$A$3:$F$32,2,FALSE),VLOOKUP(O$1,test!$A$3:$F$32,2,FALSE))&lt;test!$K$16,$A7&lt;&gt;O$1,feasible_mat!O7=1),SUM(VLOOKUP($A7,test!$A$3:$F$32,2,FALSE),VLOOKUP(O$1,test!$A$3:$F$32,2,FALSE)),0)</f>
        <v>0</v>
      </c>
      <c r="P7">
        <f>IF(AND(SUM(VLOOKUP($A7,test!$A$3:$F$32,2,FALSE),VLOOKUP(P$1,test!$A$3:$F$32,2,FALSE))&lt;test!$K$16,$A7&lt;&gt;P$1,feasible_mat!P7=1),SUM(VLOOKUP($A7,test!$A$3:$F$32,2,FALSE),VLOOKUP(P$1,test!$A$3:$F$32,2,FALSE)),0)</f>
        <v>0</v>
      </c>
      <c r="Q7">
        <f>IF(AND(SUM(VLOOKUP($A7,test!$A$3:$F$32,2,FALSE),VLOOKUP(Q$1,test!$A$3:$F$32,2,FALSE))&lt;test!$K$16,$A7&lt;&gt;Q$1,feasible_mat!Q7=1),SUM(VLOOKUP($A7,test!$A$3:$F$32,2,FALSE),VLOOKUP(Q$1,test!$A$3:$F$32,2,FALSE)),0)</f>
        <v>0</v>
      </c>
      <c r="R7">
        <f>IF(AND(SUM(VLOOKUP($A7,test!$A$3:$F$32,2,FALSE),VLOOKUP(R$1,test!$A$3:$F$32,2,FALSE))&lt;test!$K$16,$A7&lt;&gt;R$1,feasible_mat!R7=1),SUM(VLOOKUP($A7,test!$A$3:$F$32,2,FALSE),VLOOKUP(R$1,test!$A$3:$F$32,2,FALSE)),0)</f>
        <v>0</v>
      </c>
      <c r="S7">
        <f>IF(AND(SUM(VLOOKUP($A7,test!$A$3:$F$32,2,FALSE),VLOOKUP(S$1,test!$A$3:$F$32,2,FALSE))&lt;test!$K$16,$A7&lt;&gt;S$1,feasible_mat!S7=1),SUM(VLOOKUP($A7,test!$A$3:$F$32,2,FALSE),VLOOKUP(S$1,test!$A$3:$F$32,2,FALSE)),0)</f>
        <v>0</v>
      </c>
      <c r="T7">
        <f>IF(AND(SUM(VLOOKUP($A7,test!$A$3:$F$32,2,FALSE),VLOOKUP(T$1,test!$A$3:$F$32,2,FALSE))&lt;test!$K$16,$A7&lt;&gt;T$1,feasible_mat!T7=1),SUM(VLOOKUP($A7,test!$A$3:$F$32,2,FALSE),VLOOKUP(T$1,test!$A$3:$F$32,2,FALSE)),0)</f>
        <v>0</v>
      </c>
      <c r="U7">
        <f>IF(AND(SUM(VLOOKUP($A7,test!$A$3:$F$32,2,FALSE),VLOOKUP(U$1,test!$A$3:$F$32,2,FALSE))&lt;test!$K$16,$A7&lt;&gt;U$1,feasible_mat!U7=1),SUM(VLOOKUP($A7,test!$A$3:$F$32,2,FALSE),VLOOKUP(U$1,test!$A$3:$F$32,2,FALSE)),0)</f>
        <v>0</v>
      </c>
      <c r="V7">
        <f>IF(AND(SUM(VLOOKUP($A7,test!$A$3:$F$32,2,FALSE),VLOOKUP(V$1,test!$A$3:$F$32,2,FALSE))&lt;test!$K$16,$A7&lt;&gt;V$1,feasible_mat!V7=1),SUM(VLOOKUP($A7,test!$A$3:$F$32,2,FALSE),VLOOKUP(V$1,test!$A$3:$F$32,2,FALSE)),0)</f>
        <v>0</v>
      </c>
      <c r="W7">
        <f>IF(AND(SUM(VLOOKUP($A7,test!$A$3:$F$32,2,FALSE),VLOOKUP(W$1,test!$A$3:$F$32,2,FALSE))&lt;test!$K$16,$A7&lt;&gt;W$1,feasible_mat!W7=1),SUM(VLOOKUP($A7,test!$A$3:$F$32,2,FALSE),VLOOKUP(W$1,test!$A$3:$F$32,2,FALSE)),0)</f>
        <v>0</v>
      </c>
      <c r="X7">
        <f>IF(AND(SUM(VLOOKUP($A7,test!$A$3:$F$32,2,FALSE),VLOOKUP(X$1,test!$A$3:$F$32,2,FALSE))&lt;test!$K$16,$A7&lt;&gt;X$1,feasible_mat!X7=1),SUM(VLOOKUP($A7,test!$A$3:$F$32,2,FALSE),VLOOKUP(X$1,test!$A$3:$F$32,2,FALSE)),0)</f>
        <v>270</v>
      </c>
      <c r="Y7">
        <f>IF(AND(SUM(VLOOKUP($A7,test!$A$3:$F$32,2,FALSE),VLOOKUP(Y$1,test!$A$3:$F$32,2,FALSE))&lt;test!$K$16,$A7&lt;&gt;Y$1,feasible_mat!Y7=1),SUM(VLOOKUP($A7,test!$A$3:$F$32,2,FALSE),VLOOKUP(Y$1,test!$A$3:$F$32,2,FALSE)),0)</f>
        <v>0</v>
      </c>
      <c r="Z7">
        <f>IF(AND(SUM(VLOOKUP($A7,test!$A$3:$F$32,2,FALSE),VLOOKUP(Z$1,test!$A$3:$F$32,2,FALSE))&lt;test!$K$16,$A7&lt;&gt;Z$1,feasible_mat!Z7=1),SUM(VLOOKUP($A7,test!$A$3:$F$32,2,FALSE),VLOOKUP(Z$1,test!$A$3:$F$32,2,FALSE)),0)</f>
        <v>0</v>
      </c>
      <c r="AA7">
        <f>IF(AND(SUM(VLOOKUP($A7,test!$A$3:$F$32,2,FALSE),VLOOKUP(AA$1,test!$A$3:$F$32,2,FALSE))&lt;test!$K$16,$A7&lt;&gt;AA$1,feasible_mat!AA7=1),SUM(VLOOKUP($A7,test!$A$3:$F$32,2,FALSE),VLOOKUP(AA$1,test!$A$3:$F$32,2,FALSE)),0)</f>
        <v>0</v>
      </c>
      <c r="AB7">
        <f>IF(AND(SUM(VLOOKUP($A7,test!$A$3:$F$32,2,FALSE),VLOOKUP(AB$1,test!$A$3:$F$32,2,FALSE))&lt;test!$K$16,$A7&lt;&gt;AB$1,feasible_mat!AB7=1),SUM(VLOOKUP($A7,test!$A$3:$F$32,2,FALSE),VLOOKUP(AB$1,test!$A$3:$F$32,2,FALSE)),0)</f>
        <v>0</v>
      </c>
      <c r="AC7">
        <f>IF(AND(SUM(VLOOKUP($A7,test!$A$3:$F$32,2,FALSE),VLOOKUP(AC$1,test!$A$3:$F$32,2,FALSE))&lt;test!$K$16,$A7&lt;&gt;AC$1,feasible_mat!AC7=1),SUM(VLOOKUP($A7,test!$A$3:$F$32,2,FALSE),VLOOKUP(AC$1,test!$A$3:$F$32,2,FALSE)),0)</f>
        <v>0</v>
      </c>
      <c r="AD7">
        <f>IF(AND(SUM(VLOOKUP($A7,test!$A$3:$F$32,2,FALSE),VLOOKUP(AD$1,test!$A$3:$F$32,2,FALSE))&lt;test!$K$16,$A7&lt;&gt;AD$1,feasible_mat!AD7=1),SUM(VLOOKUP($A7,test!$A$3:$F$32,2,FALSE),VLOOKUP(AD$1,test!$A$3:$F$32,2,FALSE)),0)</f>
        <v>0</v>
      </c>
      <c r="AE7">
        <f>IF(AND(SUM(VLOOKUP($A7,test!$A$3:$F$32,2,FALSE),VLOOKUP(AE$1,test!$A$3:$F$32,2,FALSE))&lt;test!$K$16,$A7&lt;&gt;AE$1,feasible_mat!AE7=1),SUM(VLOOKUP($A7,test!$A$3:$F$32,2,FALSE),VLOOKUP(AE$1,test!$A$3:$F$32,2,FALSE)),0)</f>
        <v>0</v>
      </c>
      <c r="AF7">
        <f>IF(AND(SUM(VLOOKUP($A7,test!$A$3:$F$32,2,FALSE),VLOOKUP(AF$1,test!$A$3:$F$32,2,FALSE))&lt;test!$K$16,$A7&lt;&gt;AF$1,feasible_mat!AF7=1),SUM(VLOOKUP($A7,test!$A$3:$F$32,2,FALSE),VLOOKUP(AF$1,test!$A$3:$F$32,2,FALSE)),0)</f>
        <v>0</v>
      </c>
      <c r="AG7">
        <v>60</v>
      </c>
      <c r="AH7">
        <v>75</v>
      </c>
      <c r="AI7">
        <v>70</v>
      </c>
    </row>
    <row r="8" spans="1:35" x14ac:dyDescent="0.25">
      <c r="A8" t="s">
        <v>13</v>
      </c>
      <c r="B8">
        <v>0</v>
      </c>
      <c r="C8">
        <f>IF(AND(SUM(VLOOKUP($A8,test!$A$3:$F$32,2,FALSE),VLOOKUP(C$1,test!$A$3:$F$32,2,FALSE))&lt;test!$K$16,$A8&lt;&gt;C$1,feasible_mat!C8=1),SUM(VLOOKUP($A8,test!$A$3:$F$32,2,FALSE),VLOOKUP(C$1,test!$A$3:$F$32,2,FALSE)),0)</f>
        <v>0</v>
      </c>
      <c r="D8">
        <f>IF(AND(SUM(VLOOKUP($A8,test!$A$3:$F$32,2,FALSE),VLOOKUP(D$1,test!$A$3:$F$32,2,FALSE))&lt;test!$K$16,$A8&lt;&gt;D$1,feasible_mat!D8=1),SUM(VLOOKUP($A8,test!$A$3:$F$32,2,FALSE),VLOOKUP(D$1,test!$A$3:$F$32,2,FALSE)),0)</f>
        <v>0</v>
      </c>
      <c r="E8">
        <f>IF(AND(SUM(VLOOKUP($A8,test!$A$3:$F$32,2,FALSE),VLOOKUP(E$1,test!$A$3:$F$32,2,FALSE))&lt;test!$K$16,$A8&lt;&gt;E$1,feasible_mat!E8=1),SUM(VLOOKUP($A8,test!$A$3:$F$32,2,FALSE),VLOOKUP(E$1,test!$A$3:$F$32,2,FALSE)),0)</f>
        <v>0</v>
      </c>
      <c r="F8">
        <f>IF(AND(SUM(VLOOKUP($A8,test!$A$3:$F$32,2,FALSE),VLOOKUP(F$1,test!$A$3:$F$32,2,FALSE))&lt;test!$K$16,$A8&lt;&gt;F$1,feasible_mat!F8=1),SUM(VLOOKUP($A8,test!$A$3:$F$32,2,FALSE),VLOOKUP(F$1,test!$A$3:$F$32,2,FALSE)),0)</f>
        <v>0</v>
      </c>
      <c r="G8">
        <f>IF(AND(SUM(VLOOKUP($A8,test!$A$3:$F$32,2,FALSE),VLOOKUP(G$1,test!$A$3:$F$32,2,FALSE))&lt;test!$K$16,$A8&lt;&gt;G$1,feasible_mat!G8=1),SUM(VLOOKUP($A8,test!$A$3:$F$32,2,FALSE),VLOOKUP(G$1,test!$A$3:$F$32,2,FALSE)),0)</f>
        <v>0</v>
      </c>
      <c r="H8">
        <f>IF(AND(SUM(VLOOKUP($A8,test!$A$3:$F$32,2,FALSE),VLOOKUP(H$1,test!$A$3:$F$32,2,FALSE))&lt;test!$K$16,$A8&lt;&gt;H$1,feasible_mat!H8=1),SUM(VLOOKUP($A8,test!$A$3:$F$32,2,FALSE),VLOOKUP(H$1,test!$A$3:$F$32,2,FALSE)),0)</f>
        <v>0</v>
      </c>
      <c r="I8">
        <f>IF(AND(SUM(VLOOKUP($A8,test!$A$3:$F$32,2,FALSE),VLOOKUP(I$1,test!$A$3:$F$32,2,FALSE))&lt;test!$K$16,$A8&lt;&gt;I$1,feasible_mat!I8=1),SUM(VLOOKUP($A8,test!$A$3:$F$32,2,FALSE),VLOOKUP(I$1,test!$A$3:$F$32,2,FALSE)),0)</f>
        <v>0</v>
      </c>
      <c r="J8">
        <f>IF(AND(SUM(VLOOKUP($A8,test!$A$3:$F$32,2,FALSE),VLOOKUP(J$1,test!$A$3:$F$32,2,FALSE))&lt;test!$K$16,$A8&lt;&gt;J$1,feasible_mat!J8=1),SUM(VLOOKUP($A8,test!$A$3:$F$32,2,FALSE),VLOOKUP(J$1,test!$A$3:$F$32,2,FALSE)),0)</f>
        <v>0</v>
      </c>
      <c r="K8">
        <f>IF(AND(SUM(VLOOKUP($A8,test!$A$3:$F$32,2,FALSE),VLOOKUP(K$1,test!$A$3:$F$32,2,FALSE))&lt;test!$K$16,$A8&lt;&gt;K$1,feasible_mat!K8=1),SUM(VLOOKUP($A8,test!$A$3:$F$32,2,FALSE),VLOOKUP(K$1,test!$A$3:$F$32,2,FALSE)),0)</f>
        <v>0</v>
      </c>
      <c r="L8">
        <f>IF(AND(SUM(VLOOKUP($A8,test!$A$3:$F$32,2,FALSE),VLOOKUP(L$1,test!$A$3:$F$32,2,FALSE))&lt;test!$K$16,$A8&lt;&gt;L$1,feasible_mat!L8=1),SUM(VLOOKUP($A8,test!$A$3:$F$32,2,FALSE),VLOOKUP(L$1,test!$A$3:$F$32,2,FALSE)),0)</f>
        <v>0</v>
      </c>
      <c r="M8">
        <f>IF(AND(SUM(VLOOKUP($A8,test!$A$3:$F$32,2,FALSE),VLOOKUP(M$1,test!$A$3:$F$32,2,FALSE))&lt;test!$K$16,$A8&lt;&gt;M$1,feasible_mat!M8=1),SUM(VLOOKUP($A8,test!$A$3:$F$32,2,FALSE),VLOOKUP(M$1,test!$A$3:$F$32,2,FALSE)),0)</f>
        <v>0</v>
      </c>
      <c r="N8">
        <f>IF(AND(SUM(VLOOKUP($A8,test!$A$3:$F$32,2,FALSE),VLOOKUP(N$1,test!$A$3:$F$32,2,FALSE))&lt;test!$K$16,$A8&lt;&gt;N$1,feasible_mat!N8=1),SUM(VLOOKUP($A8,test!$A$3:$F$32,2,FALSE),VLOOKUP(N$1,test!$A$3:$F$32,2,FALSE)),0)</f>
        <v>0</v>
      </c>
      <c r="O8">
        <f>IF(AND(SUM(VLOOKUP($A8,test!$A$3:$F$32,2,FALSE),VLOOKUP(O$1,test!$A$3:$F$32,2,FALSE))&lt;test!$K$16,$A8&lt;&gt;O$1,feasible_mat!O8=1),SUM(VLOOKUP($A8,test!$A$3:$F$32,2,FALSE),VLOOKUP(O$1,test!$A$3:$F$32,2,FALSE)),0)</f>
        <v>0</v>
      </c>
      <c r="P8">
        <f>IF(AND(SUM(VLOOKUP($A8,test!$A$3:$F$32,2,FALSE),VLOOKUP(P$1,test!$A$3:$F$32,2,FALSE))&lt;test!$K$16,$A8&lt;&gt;P$1,feasible_mat!P8=1),SUM(VLOOKUP($A8,test!$A$3:$F$32,2,FALSE),VLOOKUP(P$1,test!$A$3:$F$32,2,FALSE)),0)</f>
        <v>0</v>
      </c>
      <c r="Q8">
        <f>IF(AND(SUM(VLOOKUP($A8,test!$A$3:$F$32,2,FALSE),VLOOKUP(Q$1,test!$A$3:$F$32,2,FALSE))&lt;test!$K$16,$A8&lt;&gt;Q$1,feasible_mat!Q8=1),SUM(VLOOKUP($A8,test!$A$3:$F$32,2,FALSE),VLOOKUP(Q$1,test!$A$3:$F$32,2,FALSE)),0)</f>
        <v>0</v>
      </c>
      <c r="R8">
        <f>IF(AND(SUM(VLOOKUP($A8,test!$A$3:$F$32,2,FALSE),VLOOKUP(R$1,test!$A$3:$F$32,2,FALSE))&lt;test!$K$16,$A8&lt;&gt;R$1,feasible_mat!R8=1),SUM(VLOOKUP($A8,test!$A$3:$F$32,2,FALSE),VLOOKUP(R$1,test!$A$3:$F$32,2,FALSE)),0)</f>
        <v>0</v>
      </c>
      <c r="S8">
        <f>IF(AND(SUM(VLOOKUP($A8,test!$A$3:$F$32,2,FALSE),VLOOKUP(S$1,test!$A$3:$F$32,2,FALSE))&lt;test!$K$16,$A8&lt;&gt;S$1,feasible_mat!S8=1),SUM(VLOOKUP($A8,test!$A$3:$F$32,2,FALSE),VLOOKUP(S$1,test!$A$3:$F$32,2,FALSE)),0)</f>
        <v>0</v>
      </c>
      <c r="T8">
        <f>IF(AND(SUM(VLOOKUP($A8,test!$A$3:$F$32,2,FALSE),VLOOKUP(T$1,test!$A$3:$F$32,2,FALSE))&lt;test!$K$16,$A8&lt;&gt;T$1,feasible_mat!T8=1),SUM(VLOOKUP($A8,test!$A$3:$F$32,2,FALSE),VLOOKUP(T$1,test!$A$3:$F$32,2,FALSE)),0)</f>
        <v>0</v>
      </c>
      <c r="U8">
        <f>IF(AND(SUM(VLOOKUP($A8,test!$A$3:$F$32,2,FALSE),VLOOKUP(U$1,test!$A$3:$F$32,2,FALSE))&lt;test!$K$16,$A8&lt;&gt;U$1,feasible_mat!U8=1),SUM(VLOOKUP($A8,test!$A$3:$F$32,2,FALSE),VLOOKUP(U$1,test!$A$3:$F$32,2,FALSE)),0)</f>
        <v>0</v>
      </c>
      <c r="V8">
        <f>IF(AND(SUM(VLOOKUP($A8,test!$A$3:$F$32,2,FALSE),VLOOKUP(V$1,test!$A$3:$F$32,2,FALSE))&lt;test!$K$16,$A8&lt;&gt;V$1,feasible_mat!V8=1),SUM(VLOOKUP($A8,test!$A$3:$F$32,2,FALSE),VLOOKUP(V$1,test!$A$3:$F$32,2,FALSE)),0)</f>
        <v>0</v>
      </c>
      <c r="W8">
        <f>IF(AND(SUM(VLOOKUP($A8,test!$A$3:$F$32,2,FALSE),VLOOKUP(W$1,test!$A$3:$F$32,2,FALSE))&lt;test!$K$16,$A8&lt;&gt;W$1,feasible_mat!W8=1),SUM(VLOOKUP($A8,test!$A$3:$F$32,2,FALSE),VLOOKUP(W$1,test!$A$3:$F$32,2,FALSE)),0)</f>
        <v>0</v>
      </c>
      <c r="X8">
        <f>IF(AND(SUM(VLOOKUP($A8,test!$A$3:$F$32,2,FALSE),VLOOKUP(X$1,test!$A$3:$F$32,2,FALSE))&lt;test!$K$16,$A8&lt;&gt;X$1,feasible_mat!X8=1),SUM(VLOOKUP($A8,test!$A$3:$F$32,2,FALSE),VLOOKUP(X$1,test!$A$3:$F$32,2,FALSE)),0)</f>
        <v>0</v>
      </c>
      <c r="Y8">
        <f>IF(AND(SUM(VLOOKUP($A8,test!$A$3:$F$32,2,FALSE),VLOOKUP(Y$1,test!$A$3:$F$32,2,FALSE))&lt;test!$K$16,$A8&lt;&gt;Y$1,feasible_mat!Y8=1),SUM(VLOOKUP($A8,test!$A$3:$F$32,2,FALSE),VLOOKUP(Y$1,test!$A$3:$F$32,2,FALSE)),0)</f>
        <v>0</v>
      </c>
      <c r="Z8">
        <f>IF(AND(SUM(VLOOKUP($A8,test!$A$3:$F$32,2,FALSE),VLOOKUP(Z$1,test!$A$3:$F$32,2,FALSE))&lt;test!$K$16,$A8&lt;&gt;Z$1,feasible_mat!Z8=1),SUM(VLOOKUP($A8,test!$A$3:$F$32,2,FALSE),VLOOKUP(Z$1,test!$A$3:$F$32,2,FALSE)),0)</f>
        <v>0</v>
      </c>
      <c r="AA8">
        <f>IF(AND(SUM(VLOOKUP($A8,test!$A$3:$F$32,2,FALSE),VLOOKUP(AA$1,test!$A$3:$F$32,2,FALSE))&lt;test!$K$16,$A8&lt;&gt;AA$1,feasible_mat!AA8=1),SUM(VLOOKUP($A8,test!$A$3:$F$32,2,FALSE),VLOOKUP(AA$1,test!$A$3:$F$32,2,FALSE)),0)</f>
        <v>0</v>
      </c>
      <c r="AB8">
        <f>IF(AND(SUM(VLOOKUP($A8,test!$A$3:$F$32,2,FALSE),VLOOKUP(AB$1,test!$A$3:$F$32,2,FALSE))&lt;test!$K$16,$A8&lt;&gt;AB$1,feasible_mat!AB8=1),SUM(VLOOKUP($A8,test!$A$3:$F$32,2,FALSE),VLOOKUP(AB$1,test!$A$3:$F$32,2,FALSE)),0)</f>
        <v>0</v>
      </c>
      <c r="AC8">
        <f>IF(AND(SUM(VLOOKUP($A8,test!$A$3:$F$32,2,FALSE),VLOOKUP(AC$1,test!$A$3:$F$32,2,FALSE))&lt;test!$K$16,$A8&lt;&gt;AC$1,feasible_mat!AC8=1),SUM(VLOOKUP($A8,test!$A$3:$F$32,2,FALSE),VLOOKUP(AC$1,test!$A$3:$F$32,2,FALSE)),0)</f>
        <v>0</v>
      </c>
      <c r="AD8">
        <f>IF(AND(SUM(VLOOKUP($A8,test!$A$3:$F$32,2,FALSE),VLOOKUP(AD$1,test!$A$3:$F$32,2,FALSE))&lt;test!$K$16,$A8&lt;&gt;AD$1,feasible_mat!AD8=1),SUM(VLOOKUP($A8,test!$A$3:$F$32,2,FALSE),VLOOKUP(AD$1,test!$A$3:$F$32,2,FALSE)),0)</f>
        <v>0</v>
      </c>
      <c r="AE8">
        <f>IF(AND(SUM(VLOOKUP($A8,test!$A$3:$F$32,2,FALSE),VLOOKUP(AE$1,test!$A$3:$F$32,2,FALSE))&lt;test!$K$16,$A8&lt;&gt;AE$1,feasible_mat!AE8=1),SUM(VLOOKUP($A8,test!$A$3:$F$32,2,FALSE),VLOOKUP(AE$1,test!$A$3:$F$32,2,FALSE)),0)</f>
        <v>0</v>
      </c>
      <c r="AF8">
        <f>IF(AND(SUM(VLOOKUP($A8,test!$A$3:$F$32,2,FALSE),VLOOKUP(AF$1,test!$A$3:$F$32,2,FALSE))&lt;test!$K$16,$A8&lt;&gt;AF$1,feasible_mat!AF8=1),SUM(VLOOKUP($A8,test!$A$3:$F$32,2,FALSE),VLOOKUP(AF$1,test!$A$3:$F$32,2,FALSE)),0)</f>
        <v>0</v>
      </c>
      <c r="AG8">
        <v>60</v>
      </c>
      <c r="AH8">
        <v>75</v>
      </c>
      <c r="AI8">
        <v>70</v>
      </c>
    </row>
    <row r="9" spans="1:35" x14ac:dyDescent="0.25">
      <c r="A9" t="s">
        <v>14</v>
      </c>
      <c r="B9">
        <v>0</v>
      </c>
      <c r="C9">
        <f>IF(AND(SUM(VLOOKUP($A9,test!$A$3:$F$32,2,FALSE),VLOOKUP(C$1,test!$A$3:$F$32,2,FALSE))&lt;test!$K$16,$A9&lt;&gt;C$1,feasible_mat!C9=1),SUM(VLOOKUP($A9,test!$A$3:$F$32,2,FALSE),VLOOKUP(C$1,test!$A$3:$F$32,2,FALSE)),0)</f>
        <v>0</v>
      </c>
      <c r="D9">
        <f>IF(AND(SUM(VLOOKUP($A9,test!$A$3:$F$32,2,FALSE),VLOOKUP(D$1,test!$A$3:$F$32,2,FALSE))&lt;test!$K$16,$A9&lt;&gt;D$1,feasible_mat!D9=1),SUM(VLOOKUP($A9,test!$A$3:$F$32,2,FALSE),VLOOKUP(D$1,test!$A$3:$F$32,2,FALSE)),0)</f>
        <v>0</v>
      </c>
      <c r="E9">
        <f>IF(AND(SUM(VLOOKUP($A9,test!$A$3:$F$32,2,FALSE),VLOOKUP(E$1,test!$A$3:$F$32,2,FALSE))&lt;test!$K$16,$A9&lt;&gt;E$1,feasible_mat!E9=1),SUM(VLOOKUP($A9,test!$A$3:$F$32,2,FALSE),VLOOKUP(E$1,test!$A$3:$F$32,2,FALSE)),0)</f>
        <v>0</v>
      </c>
      <c r="F9">
        <f>IF(AND(SUM(VLOOKUP($A9,test!$A$3:$F$32,2,FALSE),VLOOKUP(F$1,test!$A$3:$F$32,2,FALSE))&lt;test!$K$16,$A9&lt;&gt;F$1,feasible_mat!F9=1),SUM(VLOOKUP($A9,test!$A$3:$F$32,2,FALSE),VLOOKUP(F$1,test!$A$3:$F$32,2,FALSE)),0)</f>
        <v>0</v>
      </c>
      <c r="G9">
        <f>IF(AND(SUM(VLOOKUP($A9,test!$A$3:$F$32,2,FALSE),VLOOKUP(G$1,test!$A$3:$F$32,2,FALSE))&lt;test!$K$16,$A9&lt;&gt;G$1,feasible_mat!G9=1),SUM(VLOOKUP($A9,test!$A$3:$F$32,2,FALSE),VLOOKUP(G$1,test!$A$3:$F$32,2,FALSE)),0)</f>
        <v>0</v>
      </c>
      <c r="H9">
        <f>IF(AND(SUM(VLOOKUP($A9,test!$A$3:$F$32,2,FALSE),VLOOKUP(H$1,test!$A$3:$F$32,2,FALSE))&lt;test!$K$16,$A9&lt;&gt;H$1,feasible_mat!H9=1),SUM(VLOOKUP($A9,test!$A$3:$F$32,2,FALSE),VLOOKUP(H$1,test!$A$3:$F$32,2,FALSE)),0)</f>
        <v>0</v>
      </c>
      <c r="I9">
        <f>IF(AND(SUM(VLOOKUP($A9,test!$A$3:$F$32,2,FALSE),VLOOKUP(I$1,test!$A$3:$F$32,2,FALSE))&lt;test!$K$16,$A9&lt;&gt;I$1,feasible_mat!I9=1),SUM(VLOOKUP($A9,test!$A$3:$F$32,2,FALSE),VLOOKUP(I$1,test!$A$3:$F$32,2,FALSE)),0)</f>
        <v>0</v>
      </c>
      <c r="J9">
        <f>IF(AND(SUM(VLOOKUP($A9,test!$A$3:$F$32,2,FALSE),VLOOKUP(J$1,test!$A$3:$F$32,2,FALSE))&lt;test!$K$16,$A9&lt;&gt;J$1,feasible_mat!J9=1),SUM(VLOOKUP($A9,test!$A$3:$F$32,2,FALSE),VLOOKUP(J$1,test!$A$3:$F$32,2,FALSE)),0)</f>
        <v>0</v>
      </c>
      <c r="K9">
        <f>IF(AND(SUM(VLOOKUP($A9,test!$A$3:$F$32,2,FALSE),VLOOKUP(K$1,test!$A$3:$F$32,2,FALSE))&lt;test!$K$16,$A9&lt;&gt;K$1,feasible_mat!K9=1),SUM(VLOOKUP($A9,test!$A$3:$F$32,2,FALSE),VLOOKUP(K$1,test!$A$3:$F$32,2,FALSE)),0)</f>
        <v>0</v>
      </c>
      <c r="L9">
        <f>IF(AND(SUM(VLOOKUP($A9,test!$A$3:$F$32,2,FALSE),VLOOKUP(L$1,test!$A$3:$F$32,2,FALSE))&lt;test!$K$16,$A9&lt;&gt;L$1,feasible_mat!L9=1),SUM(VLOOKUP($A9,test!$A$3:$F$32,2,FALSE),VLOOKUP(L$1,test!$A$3:$F$32,2,FALSE)),0)</f>
        <v>0</v>
      </c>
      <c r="M9">
        <f>IF(AND(SUM(VLOOKUP($A9,test!$A$3:$F$32,2,FALSE),VLOOKUP(M$1,test!$A$3:$F$32,2,FALSE))&lt;test!$K$16,$A9&lt;&gt;M$1,feasible_mat!M9=1),SUM(VLOOKUP($A9,test!$A$3:$F$32,2,FALSE),VLOOKUP(M$1,test!$A$3:$F$32,2,FALSE)),0)</f>
        <v>0</v>
      </c>
      <c r="N9">
        <f>IF(AND(SUM(VLOOKUP($A9,test!$A$3:$F$32,2,FALSE),VLOOKUP(N$1,test!$A$3:$F$32,2,FALSE))&lt;test!$K$16,$A9&lt;&gt;N$1,feasible_mat!N9=1),SUM(VLOOKUP($A9,test!$A$3:$F$32,2,FALSE),VLOOKUP(N$1,test!$A$3:$F$32,2,FALSE)),0)</f>
        <v>0</v>
      </c>
      <c r="O9">
        <f>IF(AND(SUM(VLOOKUP($A9,test!$A$3:$F$32,2,FALSE),VLOOKUP(O$1,test!$A$3:$F$32,2,FALSE))&lt;test!$K$16,$A9&lt;&gt;O$1,feasible_mat!O9=1),SUM(VLOOKUP($A9,test!$A$3:$F$32,2,FALSE),VLOOKUP(O$1,test!$A$3:$F$32,2,FALSE)),0)</f>
        <v>0</v>
      </c>
      <c r="P9">
        <f>IF(AND(SUM(VLOOKUP($A9,test!$A$3:$F$32,2,FALSE),VLOOKUP(P$1,test!$A$3:$F$32,2,FALSE))&lt;test!$K$16,$A9&lt;&gt;P$1,feasible_mat!P9=1),SUM(VLOOKUP($A9,test!$A$3:$F$32,2,FALSE),VLOOKUP(P$1,test!$A$3:$F$32,2,FALSE)),0)</f>
        <v>0</v>
      </c>
      <c r="Q9">
        <f>IF(AND(SUM(VLOOKUP($A9,test!$A$3:$F$32,2,FALSE),VLOOKUP(Q$1,test!$A$3:$F$32,2,FALSE))&lt;test!$K$16,$A9&lt;&gt;Q$1,feasible_mat!Q9=1),SUM(VLOOKUP($A9,test!$A$3:$F$32,2,FALSE),VLOOKUP(Q$1,test!$A$3:$F$32,2,FALSE)),0)</f>
        <v>0</v>
      </c>
      <c r="R9">
        <f>IF(AND(SUM(VLOOKUP($A9,test!$A$3:$F$32,2,FALSE),VLOOKUP(R$1,test!$A$3:$F$32,2,FALSE))&lt;test!$K$16,$A9&lt;&gt;R$1,feasible_mat!R9=1),SUM(VLOOKUP($A9,test!$A$3:$F$32,2,FALSE),VLOOKUP(R$1,test!$A$3:$F$32,2,FALSE)),0)</f>
        <v>0</v>
      </c>
      <c r="S9">
        <f>IF(AND(SUM(VLOOKUP($A9,test!$A$3:$F$32,2,FALSE),VLOOKUP(S$1,test!$A$3:$F$32,2,FALSE))&lt;test!$K$16,$A9&lt;&gt;S$1,feasible_mat!S9=1),SUM(VLOOKUP($A9,test!$A$3:$F$32,2,FALSE),VLOOKUP(S$1,test!$A$3:$F$32,2,FALSE)),0)</f>
        <v>0</v>
      </c>
      <c r="T9">
        <f>IF(AND(SUM(VLOOKUP($A9,test!$A$3:$F$32,2,FALSE),VLOOKUP(T$1,test!$A$3:$F$32,2,FALSE))&lt;test!$K$16,$A9&lt;&gt;T$1,feasible_mat!T9=1),SUM(VLOOKUP($A9,test!$A$3:$F$32,2,FALSE),VLOOKUP(T$1,test!$A$3:$F$32,2,FALSE)),0)</f>
        <v>0</v>
      </c>
      <c r="U9">
        <f>IF(AND(SUM(VLOOKUP($A9,test!$A$3:$F$32,2,FALSE),VLOOKUP(U$1,test!$A$3:$F$32,2,FALSE))&lt;test!$K$16,$A9&lt;&gt;U$1,feasible_mat!U9=1),SUM(VLOOKUP($A9,test!$A$3:$F$32,2,FALSE),VLOOKUP(U$1,test!$A$3:$F$32,2,FALSE)),0)</f>
        <v>0</v>
      </c>
      <c r="V9">
        <f>IF(AND(SUM(VLOOKUP($A9,test!$A$3:$F$32,2,FALSE),VLOOKUP(V$1,test!$A$3:$F$32,2,FALSE))&lt;test!$K$16,$A9&lt;&gt;V$1,feasible_mat!V9=1),SUM(VLOOKUP($A9,test!$A$3:$F$32,2,FALSE),VLOOKUP(V$1,test!$A$3:$F$32,2,FALSE)),0)</f>
        <v>0</v>
      </c>
      <c r="W9">
        <f>IF(AND(SUM(VLOOKUP($A9,test!$A$3:$F$32,2,FALSE),VLOOKUP(W$1,test!$A$3:$F$32,2,FALSE))&lt;test!$K$16,$A9&lt;&gt;W$1,feasible_mat!W9=1),SUM(VLOOKUP($A9,test!$A$3:$F$32,2,FALSE),VLOOKUP(W$1,test!$A$3:$F$32,2,FALSE)),0)</f>
        <v>0</v>
      </c>
      <c r="X9">
        <f>IF(AND(SUM(VLOOKUP($A9,test!$A$3:$F$32,2,FALSE),VLOOKUP(X$1,test!$A$3:$F$32,2,FALSE))&lt;test!$K$16,$A9&lt;&gt;X$1,feasible_mat!X9=1),SUM(VLOOKUP($A9,test!$A$3:$F$32,2,FALSE),VLOOKUP(X$1,test!$A$3:$F$32,2,FALSE)),0)</f>
        <v>0</v>
      </c>
      <c r="Y9">
        <f>IF(AND(SUM(VLOOKUP($A9,test!$A$3:$F$32,2,FALSE),VLOOKUP(Y$1,test!$A$3:$F$32,2,FALSE))&lt;test!$K$16,$A9&lt;&gt;Y$1,feasible_mat!Y9=1),SUM(VLOOKUP($A9,test!$A$3:$F$32,2,FALSE),VLOOKUP(Y$1,test!$A$3:$F$32,2,FALSE)),0)</f>
        <v>0</v>
      </c>
      <c r="Z9">
        <f>IF(AND(SUM(VLOOKUP($A9,test!$A$3:$F$32,2,FALSE),VLOOKUP(Z$1,test!$A$3:$F$32,2,FALSE))&lt;test!$K$16,$A9&lt;&gt;Z$1,feasible_mat!Z9=1),SUM(VLOOKUP($A9,test!$A$3:$F$32,2,FALSE),VLOOKUP(Z$1,test!$A$3:$F$32,2,FALSE)),0)</f>
        <v>0</v>
      </c>
      <c r="AA9">
        <f>IF(AND(SUM(VLOOKUP($A9,test!$A$3:$F$32,2,FALSE),VLOOKUP(AA$1,test!$A$3:$F$32,2,FALSE))&lt;test!$K$16,$A9&lt;&gt;AA$1,feasible_mat!AA9=1),SUM(VLOOKUP($A9,test!$A$3:$F$32,2,FALSE),VLOOKUP(AA$1,test!$A$3:$F$32,2,FALSE)),0)</f>
        <v>0</v>
      </c>
      <c r="AB9">
        <f>IF(AND(SUM(VLOOKUP($A9,test!$A$3:$F$32,2,FALSE),VLOOKUP(AB$1,test!$A$3:$F$32,2,FALSE))&lt;test!$K$16,$A9&lt;&gt;AB$1,feasible_mat!AB9=1),SUM(VLOOKUP($A9,test!$A$3:$F$32,2,FALSE),VLOOKUP(AB$1,test!$A$3:$F$32,2,FALSE)),0)</f>
        <v>0</v>
      </c>
      <c r="AC9">
        <f>IF(AND(SUM(VLOOKUP($A9,test!$A$3:$F$32,2,FALSE),VLOOKUP(AC$1,test!$A$3:$F$32,2,FALSE))&lt;test!$K$16,$A9&lt;&gt;AC$1,feasible_mat!AC9=1),SUM(VLOOKUP($A9,test!$A$3:$F$32,2,FALSE),VLOOKUP(AC$1,test!$A$3:$F$32,2,FALSE)),0)</f>
        <v>0</v>
      </c>
      <c r="AD9">
        <f>IF(AND(SUM(VLOOKUP($A9,test!$A$3:$F$32,2,FALSE),VLOOKUP(AD$1,test!$A$3:$F$32,2,FALSE))&lt;test!$K$16,$A9&lt;&gt;AD$1,feasible_mat!AD9=1),SUM(VLOOKUP($A9,test!$A$3:$F$32,2,FALSE),VLOOKUP(AD$1,test!$A$3:$F$32,2,FALSE)),0)</f>
        <v>0</v>
      </c>
      <c r="AE9">
        <f>IF(AND(SUM(VLOOKUP($A9,test!$A$3:$F$32,2,FALSE),VLOOKUP(AE$1,test!$A$3:$F$32,2,FALSE))&lt;test!$K$16,$A9&lt;&gt;AE$1,feasible_mat!AE9=1),SUM(VLOOKUP($A9,test!$A$3:$F$32,2,FALSE),VLOOKUP(AE$1,test!$A$3:$F$32,2,FALSE)),0)</f>
        <v>0</v>
      </c>
      <c r="AF9">
        <f>IF(AND(SUM(VLOOKUP($A9,test!$A$3:$F$32,2,FALSE),VLOOKUP(AF$1,test!$A$3:$F$32,2,FALSE))&lt;test!$K$16,$A9&lt;&gt;AF$1,feasible_mat!AF9=1),SUM(VLOOKUP($A9,test!$A$3:$F$32,2,FALSE),VLOOKUP(AF$1,test!$A$3:$F$32,2,FALSE)),0)</f>
        <v>0</v>
      </c>
      <c r="AG9">
        <v>60</v>
      </c>
      <c r="AH9">
        <v>75</v>
      </c>
      <c r="AI9">
        <v>70</v>
      </c>
    </row>
    <row r="10" spans="1:35" x14ac:dyDescent="0.25">
      <c r="A10" t="s">
        <v>15</v>
      </c>
      <c r="B10">
        <v>0</v>
      </c>
      <c r="C10">
        <f>IF(AND(SUM(VLOOKUP($A10,test!$A$3:$F$32,2,FALSE),VLOOKUP(C$1,test!$A$3:$F$32,2,FALSE))&lt;test!$K$16,$A10&lt;&gt;C$1,feasible_mat!C10=1),SUM(VLOOKUP($A10,test!$A$3:$F$32,2,FALSE),VLOOKUP(C$1,test!$A$3:$F$32,2,FALSE)),0)</f>
        <v>0</v>
      </c>
      <c r="D10">
        <f>IF(AND(SUM(VLOOKUP($A10,test!$A$3:$F$32,2,FALSE),VLOOKUP(D$1,test!$A$3:$F$32,2,FALSE))&lt;test!$K$16,$A10&lt;&gt;D$1,feasible_mat!D10=1),SUM(VLOOKUP($A10,test!$A$3:$F$32,2,FALSE),VLOOKUP(D$1,test!$A$3:$F$32,2,FALSE)),0)</f>
        <v>0</v>
      </c>
      <c r="E10">
        <f>IF(AND(SUM(VLOOKUP($A10,test!$A$3:$F$32,2,FALSE),VLOOKUP(E$1,test!$A$3:$F$32,2,FALSE))&lt;test!$K$16,$A10&lt;&gt;E$1,feasible_mat!E10=1),SUM(VLOOKUP($A10,test!$A$3:$F$32,2,FALSE),VLOOKUP(E$1,test!$A$3:$F$32,2,FALSE)),0)</f>
        <v>0</v>
      </c>
      <c r="F10">
        <f>IF(AND(SUM(VLOOKUP($A10,test!$A$3:$F$32,2,FALSE),VLOOKUP(F$1,test!$A$3:$F$32,2,FALSE))&lt;test!$K$16,$A10&lt;&gt;F$1,feasible_mat!F10=1),SUM(VLOOKUP($A10,test!$A$3:$F$32,2,FALSE),VLOOKUP(F$1,test!$A$3:$F$32,2,FALSE)),0)</f>
        <v>0</v>
      </c>
      <c r="G10">
        <f>IF(AND(SUM(VLOOKUP($A10,test!$A$3:$F$32,2,FALSE),VLOOKUP(G$1,test!$A$3:$F$32,2,FALSE))&lt;test!$K$16,$A10&lt;&gt;G$1,feasible_mat!G10=1),SUM(VLOOKUP($A10,test!$A$3:$F$32,2,FALSE),VLOOKUP(G$1,test!$A$3:$F$32,2,FALSE)),0)</f>
        <v>0</v>
      </c>
      <c r="H10">
        <f>IF(AND(SUM(VLOOKUP($A10,test!$A$3:$F$32,2,FALSE),VLOOKUP(H$1,test!$A$3:$F$32,2,FALSE))&lt;test!$K$16,$A10&lt;&gt;H$1,feasible_mat!H10=1),SUM(VLOOKUP($A10,test!$A$3:$F$32,2,FALSE),VLOOKUP(H$1,test!$A$3:$F$32,2,FALSE)),0)</f>
        <v>0</v>
      </c>
      <c r="I10">
        <f>IF(AND(SUM(VLOOKUP($A10,test!$A$3:$F$32,2,FALSE),VLOOKUP(I$1,test!$A$3:$F$32,2,FALSE))&lt;test!$K$16,$A10&lt;&gt;I$1,feasible_mat!I10=1),SUM(VLOOKUP($A10,test!$A$3:$F$32,2,FALSE),VLOOKUP(I$1,test!$A$3:$F$32,2,FALSE)),0)</f>
        <v>0</v>
      </c>
      <c r="J10">
        <f>IF(AND(SUM(VLOOKUP($A10,test!$A$3:$F$32,2,FALSE),VLOOKUP(J$1,test!$A$3:$F$32,2,FALSE))&lt;test!$K$16,$A10&lt;&gt;J$1,feasible_mat!J10=1),SUM(VLOOKUP($A10,test!$A$3:$F$32,2,FALSE),VLOOKUP(J$1,test!$A$3:$F$32,2,FALSE)),0)</f>
        <v>0</v>
      </c>
      <c r="K10">
        <f>IF(AND(SUM(VLOOKUP($A10,test!$A$3:$F$32,2,FALSE),VLOOKUP(K$1,test!$A$3:$F$32,2,FALSE))&lt;test!$K$16,$A10&lt;&gt;K$1,feasible_mat!K10=1),SUM(VLOOKUP($A10,test!$A$3:$F$32,2,FALSE),VLOOKUP(K$1,test!$A$3:$F$32,2,FALSE)),0)</f>
        <v>0</v>
      </c>
      <c r="L10">
        <f>IF(AND(SUM(VLOOKUP($A10,test!$A$3:$F$32,2,FALSE),VLOOKUP(L$1,test!$A$3:$F$32,2,FALSE))&lt;test!$K$16,$A10&lt;&gt;L$1,feasible_mat!L10=1),SUM(VLOOKUP($A10,test!$A$3:$F$32,2,FALSE),VLOOKUP(L$1,test!$A$3:$F$32,2,FALSE)),0)</f>
        <v>0</v>
      </c>
      <c r="M10">
        <f>IF(AND(SUM(VLOOKUP($A10,test!$A$3:$F$32,2,FALSE),VLOOKUP(M$1,test!$A$3:$F$32,2,FALSE))&lt;test!$K$16,$A10&lt;&gt;M$1,feasible_mat!M10=1),SUM(VLOOKUP($A10,test!$A$3:$F$32,2,FALSE),VLOOKUP(M$1,test!$A$3:$F$32,2,FALSE)),0)</f>
        <v>0</v>
      </c>
      <c r="N10">
        <f>IF(AND(SUM(VLOOKUP($A10,test!$A$3:$F$32,2,FALSE),VLOOKUP(N$1,test!$A$3:$F$32,2,FALSE))&lt;test!$K$16,$A10&lt;&gt;N$1,feasible_mat!N10=1),SUM(VLOOKUP($A10,test!$A$3:$F$32,2,FALSE),VLOOKUP(N$1,test!$A$3:$F$32,2,FALSE)),0)</f>
        <v>0</v>
      </c>
      <c r="O10">
        <f>IF(AND(SUM(VLOOKUP($A10,test!$A$3:$F$32,2,FALSE),VLOOKUP(O$1,test!$A$3:$F$32,2,FALSE))&lt;test!$K$16,$A10&lt;&gt;O$1,feasible_mat!O10=1),SUM(VLOOKUP($A10,test!$A$3:$F$32,2,FALSE),VLOOKUP(O$1,test!$A$3:$F$32,2,FALSE)),0)</f>
        <v>0</v>
      </c>
      <c r="P10">
        <f>IF(AND(SUM(VLOOKUP($A10,test!$A$3:$F$32,2,FALSE),VLOOKUP(P$1,test!$A$3:$F$32,2,FALSE))&lt;test!$K$16,$A10&lt;&gt;P$1,feasible_mat!P10=1),SUM(VLOOKUP($A10,test!$A$3:$F$32,2,FALSE),VLOOKUP(P$1,test!$A$3:$F$32,2,FALSE)),0)</f>
        <v>0</v>
      </c>
      <c r="Q10">
        <f>IF(AND(SUM(VLOOKUP($A10,test!$A$3:$F$32,2,FALSE),VLOOKUP(Q$1,test!$A$3:$F$32,2,FALSE))&lt;test!$K$16,$A10&lt;&gt;Q$1,feasible_mat!Q10=1),SUM(VLOOKUP($A10,test!$A$3:$F$32,2,FALSE),VLOOKUP(Q$1,test!$A$3:$F$32,2,FALSE)),0)</f>
        <v>0</v>
      </c>
      <c r="R10">
        <f>IF(AND(SUM(VLOOKUP($A10,test!$A$3:$F$32,2,FALSE),VLOOKUP(R$1,test!$A$3:$F$32,2,FALSE))&lt;test!$K$16,$A10&lt;&gt;R$1,feasible_mat!R10=1),SUM(VLOOKUP($A10,test!$A$3:$F$32,2,FALSE),VLOOKUP(R$1,test!$A$3:$F$32,2,FALSE)),0)</f>
        <v>0</v>
      </c>
      <c r="S10">
        <f>IF(AND(SUM(VLOOKUP($A10,test!$A$3:$F$32,2,FALSE),VLOOKUP(S$1,test!$A$3:$F$32,2,FALSE))&lt;test!$K$16,$A10&lt;&gt;S$1,feasible_mat!S10=1),SUM(VLOOKUP($A10,test!$A$3:$F$32,2,FALSE),VLOOKUP(S$1,test!$A$3:$F$32,2,FALSE)),0)</f>
        <v>0</v>
      </c>
      <c r="T10">
        <f>IF(AND(SUM(VLOOKUP($A10,test!$A$3:$F$32,2,FALSE),VLOOKUP(T$1,test!$A$3:$F$32,2,FALSE))&lt;test!$K$16,$A10&lt;&gt;T$1,feasible_mat!T10=1),SUM(VLOOKUP($A10,test!$A$3:$F$32,2,FALSE),VLOOKUP(T$1,test!$A$3:$F$32,2,FALSE)),0)</f>
        <v>0</v>
      </c>
      <c r="U10">
        <f>IF(AND(SUM(VLOOKUP($A10,test!$A$3:$F$32,2,FALSE),VLOOKUP(U$1,test!$A$3:$F$32,2,FALSE))&lt;test!$K$16,$A10&lt;&gt;U$1,feasible_mat!U10=1),SUM(VLOOKUP($A10,test!$A$3:$F$32,2,FALSE),VLOOKUP(U$1,test!$A$3:$F$32,2,FALSE)),0)</f>
        <v>0</v>
      </c>
      <c r="V10">
        <f>IF(AND(SUM(VLOOKUP($A10,test!$A$3:$F$32,2,FALSE),VLOOKUP(V$1,test!$A$3:$F$32,2,FALSE))&lt;test!$K$16,$A10&lt;&gt;V$1,feasible_mat!V10=1),SUM(VLOOKUP($A10,test!$A$3:$F$32,2,FALSE),VLOOKUP(V$1,test!$A$3:$F$32,2,FALSE)),0)</f>
        <v>0</v>
      </c>
      <c r="W10">
        <f>IF(AND(SUM(VLOOKUP($A10,test!$A$3:$F$32,2,FALSE),VLOOKUP(W$1,test!$A$3:$F$32,2,FALSE))&lt;test!$K$16,$A10&lt;&gt;W$1,feasible_mat!W10=1),SUM(VLOOKUP($A10,test!$A$3:$F$32,2,FALSE),VLOOKUP(W$1,test!$A$3:$F$32,2,FALSE)),0)</f>
        <v>0</v>
      </c>
      <c r="X10">
        <f>IF(AND(SUM(VLOOKUP($A10,test!$A$3:$F$32,2,FALSE),VLOOKUP(X$1,test!$A$3:$F$32,2,FALSE))&lt;test!$K$16,$A10&lt;&gt;X$1,feasible_mat!X10=1),SUM(VLOOKUP($A10,test!$A$3:$F$32,2,FALSE),VLOOKUP(X$1,test!$A$3:$F$32,2,FALSE)),0)</f>
        <v>0</v>
      </c>
      <c r="Y10">
        <f>IF(AND(SUM(VLOOKUP($A10,test!$A$3:$F$32,2,FALSE),VLOOKUP(Y$1,test!$A$3:$F$32,2,FALSE))&lt;test!$K$16,$A10&lt;&gt;Y$1,feasible_mat!Y10=1),SUM(VLOOKUP($A10,test!$A$3:$F$32,2,FALSE),VLOOKUP(Y$1,test!$A$3:$F$32,2,FALSE)),0)</f>
        <v>0</v>
      </c>
      <c r="Z10">
        <f>IF(AND(SUM(VLOOKUP($A10,test!$A$3:$F$32,2,FALSE),VLOOKUP(Z$1,test!$A$3:$F$32,2,FALSE))&lt;test!$K$16,$A10&lt;&gt;Z$1,feasible_mat!Z10=1),SUM(VLOOKUP($A10,test!$A$3:$F$32,2,FALSE),VLOOKUP(Z$1,test!$A$3:$F$32,2,FALSE)),0)</f>
        <v>0</v>
      </c>
      <c r="AA10">
        <f>IF(AND(SUM(VLOOKUP($A10,test!$A$3:$F$32,2,FALSE),VLOOKUP(AA$1,test!$A$3:$F$32,2,FALSE))&lt;test!$K$16,$A10&lt;&gt;AA$1,feasible_mat!AA10=1),SUM(VLOOKUP($A10,test!$A$3:$F$32,2,FALSE),VLOOKUP(AA$1,test!$A$3:$F$32,2,FALSE)),0)</f>
        <v>0</v>
      </c>
      <c r="AB10">
        <f>IF(AND(SUM(VLOOKUP($A10,test!$A$3:$F$32,2,FALSE),VLOOKUP(AB$1,test!$A$3:$F$32,2,FALSE))&lt;test!$K$16,$A10&lt;&gt;AB$1,feasible_mat!AB10=1),SUM(VLOOKUP($A10,test!$A$3:$F$32,2,FALSE),VLOOKUP(AB$1,test!$A$3:$F$32,2,FALSE)),0)</f>
        <v>0</v>
      </c>
      <c r="AC10">
        <f>IF(AND(SUM(VLOOKUP($A10,test!$A$3:$F$32,2,FALSE),VLOOKUP(AC$1,test!$A$3:$F$32,2,FALSE))&lt;test!$K$16,$A10&lt;&gt;AC$1,feasible_mat!AC10=1),SUM(VLOOKUP($A10,test!$A$3:$F$32,2,FALSE),VLOOKUP(AC$1,test!$A$3:$F$32,2,FALSE)),0)</f>
        <v>0</v>
      </c>
      <c r="AD10">
        <f>IF(AND(SUM(VLOOKUP($A10,test!$A$3:$F$32,2,FALSE),VLOOKUP(AD$1,test!$A$3:$F$32,2,FALSE))&lt;test!$K$16,$A10&lt;&gt;AD$1,feasible_mat!AD10=1),SUM(VLOOKUP($A10,test!$A$3:$F$32,2,FALSE),VLOOKUP(AD$1,test!$A$3:$F$32,2,FALSE)),0)</f>
        <v>0</v>
      </c>
      <c r="AE10">
        <f>IF(AND(SUM(VLOOKUP($A10,test!$A$3:$F$32,2,FALSE),VLOOKUP(AE$1,test!$A$3:$F$32,2,FALSE))&lt;test!$K$16,$A10&lt;&gt;AE$1,feasible_mat!AE10=1),SUM(VLOOKUP($A10,test!$A$3:$F$32,2,FALSE),VLOOKUP(AE$1,test!$A$3:$F$32,2,FALSE)),0)</f>
        <v>0</v>
      </c>
      <c r="AF10">
        <f>IF(AND(SUM(VLOOKUP($A10,test!$A$3:$F$32,2,FALSE),VLOOKUP(AF$1,test!$A$3:$F$32,2,FALSE))&lt;test!$K$16,$A10&lt;&gt;AF$1,feasible_mat!AF10=1),SUM(VLOOKUP($A10,test!$A$3:$F$32,2,FALSE),VLOOKUP(AF$1,test!$A$3:$F$32,2,FALSE)),0)</f>
        <v>0</v>
      </c>
      <c r="AG10">
        <v>60</v>
      </c>
      <c r="AH10">
        <v>75</v>
      </c>
      <c r="AI10">
        <v>70</v>
      </c>
    </row>
    <row r="11" spans="1:35" x14ac:dyDescent="0.25">
      <c r="A11" t="s">
        <v>18</v>
      </c>
      <c r="B11">
        <v>0</v>
      </c>
      <c r="C11">
        <f>IF(AND(SUM(VLOOKUP($A11,test!$A$3:$F$32,2,FALSE),VLOOKUP(C$1,test!$A$3:$F$32,2,FALSE))&lt;test!$K$16,$A11&lt;&gt;C$1,feasible_mat!C11=1),SUM(VLOOKUP($A11,test!$A$3:$F$32,2,FALSE),VLOOKUP(C$1,test!$A$3:$F$32,2,FALSE)),0)</f>
        <v>0</v>
      </c>
      <c r="D11">
        <f>IF(AND(SUM(VLOOKUP($A11,test!$A$3:$F$32,2,FALSE),VLOOKUP(D$1,test!$A$3:$F$32,2,FALSE))&lt;test!$K$16,$A11&lt;&gt;D$1,feasible_mat!D11=1),SUM(VLOOKUP($A11,test!$A$3:$F$32,2,FALSE),VLOOKUP(D$1,test!$A$3:$F$32,2,FALSE)),0)</f>
        <v>0</v>
      </c>
      <c r="E11">
        <f>IF(AND(SUM(VLOOKUP($A11,test!$A$3:$F$32,2,FALSE),VLOOKUP(E$1,test!$A$3:$F$32,2,FALSE))&lt;test!$K$16,$A11&lt;&gt;E$1,feasible_mat!E11=1),SUM(VLOOKUP($A11,test!$A$3:$F$32,2,FALSE),VLOOKUP(E$1,test!$A$3:$F$32,2,FALSE)),0)</f>
        <v>0</v>
      </c>
      <c r="F11">
        <f>IF(AND(SUM(VLOOKUP($A11,test!$A$3:$F$32,2,FALSE),VLOOKUP(F$1,test!$A$3:$F$32,2,FALSE))&lt;test!$K$16,$A11&lt;&gt;F$1,feasible_mat!F11=1),SUM(VLOOKUP($A11,test!$A$3:$F$32,2,FALSE),VLOOKUP(F$1,test!$A$3:$F$32,2,FALSE)),0)</f>
        <v>0</v>
      </c>
      <c r="G11">
        <f>IF(AND(SUM(VLOOKUP($A11,test!$A$3:$F$32,2,FALSE),VLOOKUP(G$1,test!$A$3:$F$32,2,FALSE))&lt;test!$K$16,$A11&lt;&gt;G$1,feasible_mat!G11=1),SUM(VLOOKUP($A11,test!$A$3:$F$32,2,FALSE),VLOOKUP(G$1,test!$A$3:$F$32,2,FALSE)),0)</f>
        <v>0</v>
      </c>
      <c r="H11">
        <f>IF(AND(SUM(VLOOKUP($A11,test!$A$3:$F$32,2,FALSE),VLOOKUP(H$1,test!$A$3:$F$32,2,FALSE))&lt;test!$K$16,$A11&lt;&gt;H$1,feasible_mat!H11=1),SUM(VLOOKUP($A11,test!$A$3:$F$32,2,FALSE),VLOOKUP(H$1,test!$A$3:$F$32,2,FALSE)),0)</f>
        <v>0</v>
      </c>
      <c r="I11">
        <f>IF(AND(SUM(VLOOKUP($A11,test!$A$3:$F$32,2,FALSE),VLOOKUP(I$1,test!$A$3:$F$32,2,FALSE))&lt;test!$K$16,$A11&lt;&gt;I$1,feasible_mat!I11=1),SUM(VLOOKUP($A11,test!$A$3:$F$32,2,FALSE),VLOOKUP(I$1,test!$A$3:$F$32,2,FALSE)),0)</f>
        <v>0</v>
      </c>
      <c r="J11">
        <f>IF(AND(SUM(VLOOKUP($A11,test!$A$3:$F$32,2,FALSE),VLOOKUP(J$1,test!$A$3:$F$32,2,FALSE))&lt;test!$K$16,$A11&lt;&gt;J$1,feasible_mat!J11=1),SUM(VLOOKUP($A11,test!$A$3:$F$32,2,FALSE),VLOOKUP(J$1,test!$A$3:$F$32,2,FALSE)),0)</f>
        <v>0</v>
      </c>
      <c r="K11">
        <f>IF(AND(SUM(VLOOKUP($A11,test!$A$3:$F$32,2,FALSE),VLOOKUP(K$1,test!$A$3:$F$32,2,FALSE))&lt;test!$K$16,$A11&lt;&gt;K$1,feasible_mat!K11=1),SUM(VLOOKUP($A11,test!$A$3:$F$32,2,FALSE),VLOOKUP(K$1,test!$A$3:$F$32,2,FALSE)),0)</f>
        <v>0</v>
      </c>
      <c r="L11">
        <f>IF(AND(SUM(VLOOKUP($A11,test!$A$3:$F$32,2,FALSE),VLOOKUP(L$1,test!$A$3:$F$32,2,FALSE))&lt;test!$K$16,$A11&lt;&gt;L$1,feasible_mat!L11=1),SUM(VLOOKUP($A11,test!$A$3:$F$32,2,FALSE),VLOOKUP(L$1,test!$A$3:$F$32,2,FALSE)),0)</f>
        <v>0</v>
      </c>
      <c r="M11">
        <f>IF(AND(SUM(VLOOKUP($A11,test!$A$3:$F$32,2,FALSE),VLOOKUP(M$1,test!$A$3:$F$32,2,FALSE))&lt;test!$K$16,$A11&lt;&gt;M$1,feasible_mat!M11=1),SUM(VLOOKUP($A11,test!$A$3:$F$32,2,FALSE),VLOOKUP(M$1,test!$A$3:$F$32,2,FALSE)),0)</f>
        <v>0</v>
      </c>
      <c r="N11">
        <f>IF(AND(SUM(VLOOKUP($A11,test!$A$3:$F$32,2,FALSE),VLOOKUP(N$1,test!$A$3:$F$32,2,FALSE))&lt;test!$K$16,$A11&lt;&gt;N$1,feasible_mat!N11=1),SUM(VLOOKUP($A11,test!$A$3:$F$32,2,FALSE),VLOOKUP(N$1,test!$A$3:$F$32,2,FALSE)),0)</f>
        <v>0</v>
      </c>
      <c r="O11">
        <f>IF(AND(SUM(VLOOKUP($A11,test!$A$3:$F$32,2,FALSE),VLOOKUP(O$1,test!$A$3:$F$32,2,FALSE))&lt;test!$K$16,$A11&lt;&gt;O$1,feasible_mat!O11=1),SUM(VLOOKUP($A11,test!$A$3:$F$32,2,FALSE),VLOOKUP(O$1,test!$A$3:$F$32,2,FALSE)),0)</f>
        <v>0</v>
      </c>
      <c r="P11">
        <f>IF(AND(SUM(VLOOKUP($A11,test!$A$3:$F$32,2,FALSE),VLOOKUP(P$1,test!$A$3:$F$32,2,FALSE))&lt;test!$K$16,$A11&lt;&gt;P$1,feasible_mat!P11=1),SUM(VLOOKUP($A11,test!$A$3:$F$32,2,FALSE),VLOOKUP(P$1,test!$A$3:$F$32,2,FALSE)),0)</f>
        <v>0</v>
      </c>
      <c r="Q11">
        <f>IF(AND(SUM(VLOOKUP($A11,test!$A$3:$F$32,2,FALSE),VLOOKUP(Q$1,test!$A$3:$F$32,2,FALSE))&lt;test!$K$16,$A11&lt;&gt;Q$1,feasible_mat!Q11=1),SUM(VLOOKUP($A11,test!$A$3:$F$32,2,FALSE),VLOOKUP(Q$1,test!$A$3:$F$32,2,FALSE)),0)</f>
        <v>0</v>
      </c>
      <c r="R11">
        <f>IF(AND(SUM(VLOOKUP($A11,test!$A$3:$F$32,2,FALSE),VLOOKUP(R$1,test!$A$3:$F$32,2,FALSE))&lt;test!$K$16,$A11&lt;&gt;R$1,feasible_mat!R11=1),SUM(VLOOKUP($A11,test!$A$3:$F$32,2,FALSE),VLOOKUP(R$1,test!$A$3:$F$32,2,FALSE)),0)</f>
        <v>0</v>
      </c>
      <c r="S11">
        <f>IF(AND(SUM(VLOOKUP($A11,test!$A$3:$F$32,2,FALSE),VLOOKUP(S$1,test!$A$3:$F$32,2,FALSE))&lt;test!$K$16,$A11&lt;&gt;S$1,feasible_mat!S11=1),SUM(VLOOKUP($A11,test!$A$3:$F$32,2,FALSE),VLOOKUP(S$1,test!$A$3:$F$32,2,FALSE)),0)</f>
        <v>0</v>
      </c>
      <c r="T11">
        <f>IF(AND(SUM(VLOOKUP($A11,test!$A$3:$F$32,2,FALSE),VLOOKUP(T$1,test!$A$3:$F$32,2,FALSE))&lt;test!$K$16,$A11&lt;&gt;T$1,feasible_mat!T11=1),SUM(VLOOKUP($A11,test!$A$3:$F$32,2,FALSE),VLOOKUP(T$1,test!$A$3:$F$32,2,FALSE)),0)</f>
        <v>0</v>
      </c>
      <c r="U11">
        <f>IF(AND(SUM(VLOOKUP($A11,test!$A$3:$F$32,2,FALSE),VLOOKUP(U$1,test!$A$3:$F$32,2,FALSE))&lt;test!$K$16,$A11&lt;&gt;U$1,feasible_mat!U11=1),SUM(VLOOKUP($A11,test!$A$3:$F$32,2,FALSE),VLOOKUP(U$1,test!$A$3:$F$32,2,FALSE)),0)</f>
        <v>0</v>
      </c>
      <c r="V11">
        <f>IF(AND(SUM(VLOOKUP($A11,test!$A$3:$F$32,2,FALSE),VLOOKUP(V$1,test!$A$3:$F$32,2,FALSE))&lt;test!$K$16,$A11&lt;&gt;V$1,feasible_mat!V11=1),SUM(VLOOKUP($A11,test!$A$3:$F$32,2,FALSE),VLOOKUP(V$1,test!$A$3:$F$32,2,FALSE)),0)</f>
        <v>0</v>
      </c>
      <c r="W11">
        <f>IF(AND(SUM(VLOOKUP($A11,test!$A$3:$F$32,2,FALSE),VLOOKUP(W$1,test!$A$3:$F$32,2,FALSE))&lt;test!$K$16,$A11&lt;&gt;W$1,feasible_mat!W11=1),SUM(VLOOKUP($A11,test!$A$3:$F$32,2,FALSE),VLOOKUP(W$1,test!$A$3:$F$32,2,FALSE)),0)</f>
        <v>0</v>
      </c>
      <c r="X11">
        <f>IF(AND(SUM(VLOOKUP($A11,test!$A$3:$F$32,2,FALSE),VLOOKUP(X$1,test!$A$3:$F$32,2,FALSE))&lt;test!$K$16,$A11&lt;&gt;X$1,feasible_mat!X11=1),SUM(VLOOKUP($A11,test!$A$3:$F$32,2,FALSE),VLOOKUP(X$1,test!$A$3:$F$32,2,FALSE)),0)</f>
        <v>0</v>
      </c>
      <c r="Y11">
        <f>IF(AND(SUM(VLOOKUP($A11,test!$A$3:$F$32,2,FALSE),VLOOKUP(Y$1,test!$A$3:$F$32,2,FALSE))&lt;test!$K$16,$A11&lt;&gt;Y$1,feasible_mat!Y11=1),SUM(VLOOKUP($A11,test!$A$3:$F$32,2,FALSE),VLOOKUP(Y$1,test!$A$3:$F$32,2,FALSE)),0)</f>
        <v>0</v>
      </c>
      <c r="Z11">
        <f>IF(AND(SUM(VLOOKUP($A11,test!$A$3:$F$32,2,FALSE),VLOOKUP(Z$1,test!$A$3:$F$32,2,FALSE))&lt;test!$K$16,$A11&lt;&gt;Z$1,feasible_mat!Z11=1),SUM(VLOOKUP($A11,test!$A$3:$F$32,2,FALSE),VLOOKUP(Z$1,test!$A$3:$F$32,2,FALSE)),0)</f>
        <v>280</v>
      </c>
      <c r="AA11">
        <f>IF(AND(SUM(VLOOKUP($A11,test!$A$3:$F$32,2,FALSE),VLOOKUP(AA$1,test!$A$3:$F$32,2,FALSE))&lt;test!$K$16,$A11&lt;&gt;AA$1,feasible_mat!AA11=1),SUM(VLOOKUP($A11,test!$A$3:$F$32,2,FALSE),VLOOKUP(AA$1,test!$A$3:$F$32,2,FALSE)),0)</f>
        <v>280</v>
      </c>
      <c r="AB11">
        <f>IF(AND(SUM(VLOOKUP($A11,test!$A$3:$F$32,2,FALSE),VLOOKUP(AB$1,test!$A$3:$F$32,2,FALSE))&lt;test!$K$16,$A11&lt;&gt;AB$1,feasible_mat!AB11=1),SUM(VLOOKUP($A11,test!$A$3:$F$32,2,FALSE),VLOOKUP(AB$1,test!$A$3:$F$32,2,FALSE)),0)</f>
        <v>280</v>
      </c>
      <c r="AC11">
        <f>IF(AND(SUM(VLOOKUP($A11,test!$A$3:$F$32,2,FALSE),VLOOKUP(AC$1,test!$A$3:$F$32,2,FALSE))&lt;test!$K$16,$A11&lt;&gt;AC$1,feasible_mat!AC11=1),SUM(VLOOKUP($A11,test!$A$3:$F$32,2,FALSE),VLOOKUP(AC$1,test!$A$3:$F$32,2,FALSE)),0)</f>
        <v>280</v>
      </c>
      <c r="AD11">
        <f>IF(AND(SUM(VLOOKUP($A11,test!$A$3:$F$32,2,FALSE),VLOOKUP(AD$1,test!$A$3:$F$32,2,FALSE))&lt;test!$K$16,$A11&lt;&gt;AD$1,feasible_mat!AD11=1),SUM(VLOOKUP($A11,test!$A$3:$F$32,2,FALSE),VLOOKUP(AD$1,test!$A$3:$F$32,2,FALSE)),0)</f>
        <v>0</v>
      </c>
      <c r="AE11">
        <f>IF(AND(SUM(VLOOKUP($A11,test!$A$3:$F$32,2,FALSE),VLOOKUP(AE$1,test!$A$3:$F$32,2,FALSE))&lt;test!$K$16,$A11&lt;&gt;AE$1,feasible_mat!AE11=1),SUM(VLOOKUP($A11,test!$A$3:$F$32,2,FALSE),VLOOKUP(AE$1,test!$A$3:$F$32,2,FALSE)),0)</f>
        <v>0</v>
      </c>
      <c r="AF11">
        <f>IF(AND(SUM(VLOOKUP($A11,test!$A$3:$F$32,2,FALSE),VLOOKUP(AF$1,test!$A$3:$F$32,2,FALSE))&lt;test!$K$16,$A11&lt;&gt;AF$1,feasible_mat!AF11=1),SUM(VLOOKUP($A11,test!$A$3:$F$32,2,FALSE),VLOOKUP(AF$1,test!$A$3:$F$32,2,FALSE)),0)</f>
        <v>0</v>
      </c>
      <c r="AG11">
        <v>60</v>
      </c>
      <c r="AH11">
        <v>75</v>
      </c>
      <c r="AI11">
        <v>70</v>
      </c>
    </row>
    <row r="12" spans="1:35" x14ac:dyDescent="0.25">
      <c r="A12" t="s">
        <v>20</v>
      </c>
      <c r="B12">
        <v>0</v>
      </c>
      <c r="C12">
        <f>IF(AND(SUM(VLOOKUP($A12,test!$A$3:$F$32,2,FALSE),VLOOKUP(C$1,test!$A$3:$F$32,2,FALSE))&lt;test!$K$16,$A12&lt;&gt;C$1,feasible_mat!C12=1),SUM(VLOOKUP($A12,test!$A$3:$F$32,2,FALSE),VLOOKUP(C$1,test!$A$3:$F$32,2,FALSE)),0)</f>
        <v>0</v>
      </c>
      <c r="D12">
        <f>IF(AND(SUM(VLOOKUP($A12,test!$A$3:$F$32,2,FALSE),VLOOKUP(D$1,test!$A$3:$F$32,2,FALSE))&lt;test!$K$16,$A12&lt;&gt;D$1,feasible_mat!D12=1),SUM(VLOOKUP($A12,test!$A$3:$F$32,2,FALSE),VLOOKUP(D$1,test!$A$3:$F$32,2,FALSE)),0)</f>
        <v>0</v>
      </c>
      <c r="E12">
        <f>IF(AND(SUM(VLOOKUP($A12,test!$A$3:$F$32,2,FALSE),VLOOKUP(E$1,test!$A$3:$F$32,2,FALSE))&lt;test!$K$16,$A12&lt;&gt;E$1,feasible_mat!E12=1),SUM(VLOOKUP($A12,test!$A$3:$F$32,2,FALSE),VLOOKUP(E$1,test!$A$3:$F$32,2,FALSE)),0)</f>
        <v>0</v>
      </c>
      <c r="F12">
        <f>IF(AND(SUM(VLOOKUP($A12,test!$A$3:$F$32,2,FALSE),VLOOKUP(F$1,test!$A$3:$F$32,2,FALSE))&lt;test!$K$16,$A12&lt;&gt;F$1,feasible_mat!F12=1),SUM(VLOOKUP($A12,test!$A$3:$F$32,2,FALSE),VLOOKUP(F$1,test!$A$3:$F$32,2,FALSE)),0)</f>
        <v>0</v>
      </c>
      <c r="G12">
        <f>IF(AND(SUM(VLOOKUP($A12,test!$A$3:$F$32,2,FALSE),VLOOKUP(G$1,test!$A$3:$F$32,2,FALSE))&lt;test!$K$16,$A12&lt;&gt;G$1,feasible_mat!G12=1),SUM(VLOOKUP($A12,test!$A$3:$F$32,2,FALSE),VLOOKUP(G$1,test!$A$3:$F$32,2,FALSE)),0)</f>
        <v>0</v>
      </c>
      <c r="H12">
        <f>IF(AND(SUM(VLOOKUP($A12,test!$A$3:$F$32,2,FALSE),VLOOKUP(H$1,test!$A$3:$F$32,2,FALSE))&lt;test!$K$16,$A12&lt;&gt;H$1,feasible_mat!H12=1),SUM(VLOOKUP($A12,test!$A$3:$F$32,2,FALSE),VLOOKUP(H$1,test!$A$3:$F$32,2,FALSE)),0)</f>
        <v>0</v>
      </c>
      <c r="I12">
        <f>IF(AND(SUM(VLOOKUP($A12,test!$A$3:$F$32,2,FALSE),VLOOKUP(I$1,test!$A$3:$F$32,2,FALSE))&lt;test!$K$16,$A12&lt;&gt;I$1,feasible_mat!I12=1),SUM(VLOOKUP($A12,test!$A$3:$F$32,2,FALSE),VLOOKUP(I$1,test!$A$3:$F$32,2,FALSE)),0)</f>
        <v>0</v>
      </c>
      <c r="J12">
        <f>IF(AND(SUM(VLOOKUP($A12,test!$A$3:$F$32,2,FALSE),VLOOKUP(J$1,test!$A$3:$F$32,2,FALSE))&lt;test!$K$16,$A12&lt;&gt;J$1,feasible_mat!J12=1),SUM(VLOOKUP($A12,test!$A$3:$F$32,2,FALSE),VLOOKUP(J$1,test!$A$3:$F$32,2,FALSE)),0)</f>
        <v>0</v>
      </c>
      <c r="K12">
        <f>IF(AND(SUM(VLOOKUP($A12,test!$A$3:$F$32,2,FALSE),VLOOKUP(K$1,test!$A$3:$F$32,2,FALSE))&lt;test!$K$16,$A12&lt;&gt;K$1,feasible_mat!K12=1),SUM(VLOOKUP($A12,test!$A$3:$F$32,2,FALSE),VLOOKUP(K$1,test!$A$3:$F$32,2,FALSE)),0)</f>
        <v>0</v>
      </c>
      <c r="L12">
        <f>IF(AND(SUM(VLOOKUP($A12,test!$A$3:$F$32,2,FALSE),VLOOKUP(L$1,test!$A$3:$F$32,2,FALSE))&lt;test!$K$16,$A12&lt;&gt;L$1,feasible_mat!L12=1),SUM(VLOOKUP($A12,test!$A$3:$F$32,2,FALSE),VLOOKUP(L$1,test!$A$3:$F$32,2,FALSE)),0)</f>
        <v>0</v>
      </c>
      <c r="M12">
        <f>IF(AND(SUM(VLOOKUP($A12,test!$A$3:$F$32,2,FALSE),VLOOKUP(M$1,test!$A$3:$F$32,2,FALSE))&lt;test!$K$16,$A12&lt;&gt;M$1,feasible_mat!M12=1),SUM(VLOOKUP($A12,test!$A$3:$F$32,2,FALSE),VLOOKUP(M$1,test!$A$3:$F$32,2,FALSE)),0)</f>
        <v>0</v>
      </c>
      <c r="N12">
        <f>IF(AND(SUM(VLOOKUP($A12,test!$A$3:$F$32,2,FALSE),VLOOKUP(N$1,test!$A$3:$F$32,2,FALSE))&lt;test!$K$16,$A12&lt;&gt;N$1,feasible_mat!N12=1),SUM(VLOOKUP($A12,test!$A$3:$F$32,2,FALSE),VLOOKUP(N$1,test!$A$3:$F$32,2,FALSE)),0)</f>
        <v>0</v>
      </c>
      <c r="O12">
        <f>IF(AND(SUM(VLOOKUP($A12,test!$A$3:$F$32,2,FALSE),VLOOKUP(O$1,test!$A$3:$F$32,2,FALSE))&lt;test!$K$16,$A12&lt;&gt;O$1,feasible_mat!O12=1),SUM(VLOOKUP($A12,test!$A$3:$F$32,2,FALSE),VLOOKUP(O$1,test!$A$3:$F$32,2,FALSE)),0)</f>
        <v>0</v>
      </c>
      <c r="P12">
        <f>IF(AND(SUM(VLOOKUP($A12,test!$A$3:$F$32,2,FALSE),VLOOKUP(P$1,test!$A$3:$F$32,2,FALSE))&lt;test!$K$16,$A12&lt;&gt;P$1,feasible_mat!P12=1),SUM(VLOOKUP($A12,test!$A$3:$F$32,2,FALSE),VLOOKUP(P$1,test!$A$3:$F$32,2,FALSE)),0)</f>
        <v>0</v>
      </c>
      <c r="Q12">
        <f>IF(AND(SUM(VLOOKUP($A12,test!$A$3:$F$32,2,FALSE),VLOOKUP(Q$1,test!$A$3:$F$32,2,FALSE))&lt;test!$K$16,$A12&lt;&gt;Q$1,feasible_mat!Q12=1),SUM(VLOOKUP($A12,test!$A$3:$F$32,2,FALSE),VLOOKUP(Q$1,test!$A$3:$F$32,2,FALSE)),0)</f>
        <v>0</v>
      </c>
      <c r="R12">
        <f>IF(AND(SUM(VLOOKUP($A12,test!$A$3:$F$32,2,FALSE),VLOOKUP(R$1,test!$A$3:$F$32,2,FALSE))&lt;test!$K$16,$A12&lt;&gt;R$1,feasible_mat!R12=1),SUM(VLOOKUP($A12,test!$A$3:$F$32,2,FALSE),VLOOKUP(R$1,test!$A$3:$F$32,2,FALSE)),0)</f>
        <v>0</v>
      </c>
      <c r="S12">
        <f>IF(AND(SUM(VLOOKUP($A12,test!$A$3:$F$32,2,FALSE),VLOOKUP(S$1,test!$A$3:$F$32,2,FALSE))&lt;test!$K$16,$A12&lt;&gt;S$1,feasible_mat!S12=1),SUM(VLOOKUP($A12,test!$A$3:$F$32,2,FALSE),VLOOKUP(S$1,test!$A$3:$F$32,2,FALSE)),0)</f>
        <v>0</v>
      </c>
      <c r="T12">
        <f>IF(AND(SUM(VLOOKUP($A12,test!$A$3:$F$32,2,FALSE),VLOOKUP(T$1,test!$A$3:$F$32,2,FALSE))&lt;test!$K$16,$A12&lt;&gt;T$1,feasible_mat!T12=1),SUM(VLOOKUP($A12,test!$A$3:$F$32,2,FALSE),VLOOKUP(T$1,test!$A$3:$F$32,2,FALSE)),0)</f>
        <v>0</v>
      </c>
      <c r="U12">
        <f>IF(AND(SUM(VLOOKUP($A12,test!$A$3:$F$32,2,FALSE),VLOOKUP(U$1,test!$A$3:$F$32,2,FALSE))&lt;test!$K$16,$A12&lt;&gt;U$1,feasible_mat!U12=1),SUM(VLOOKUP($A12,test!$A$3:$F$32,2,FALSE),VLOOKUP(U$1,test!$A$3:$F$32,2,FALSE)),0)</f>
        <v>0</v>
      </c>
      <c r="V12">
        <f>IF(AND(SUM(VLOOKUP($A12,test!$A$3:$F$32,2,FALSE),VLOOKUP(V$1,test!$A$3:$F$32,2,FALSE))&lt;test!$K$16,$A12&lt;&gt;V$1,feasible_mat!V12=1),SUM(VLOOKUP($A12,test!$A$3:$F$32,2,FALSE),VLOOKUP(V$1,test!$A$3:$F$32,2,FALSE)),0)</f>
        <v>0</v>
      </c>
      <c r="W12">
        <f>IF(AND(SUM(VLOOKUP($A12,test!$A$3:$F$32,2,FALSE),VLOOKUP(W$1,test!$A$3:$F$32,2,FALSE))&lt;test!$K$16,$A12&lt;&gt;W$1,feasible_mat!W12=1),SUM(VLOOKUP($A12,test!$A$3:$F$32,2,FALSE),VLOOKUP(W$1,test!$A$3:$F$32,2,FALSE)),0)</f>
        <v>0</v>
      </c>
      <c r="X12">
        <f>IF(AND(SUM(VLOOKUP($A12,test!$A$3:$F$32,2,FALSE),VLOOKUP(X$1,test!$A$3:$F$32,2,FALSE))&lt;test!$K$16,$A12&lt;&gt;X$1,feasible_mat!X12=1),SUM(VLOOKUP($A12,test!$A$3:$F$32,2,FALSE),VLOOKUP(X$1,test!$A$3:$F$32,2,FALSE)),0)</f>
        <v>0</v>
      </c>
      <c r="Y12">
        <f>IF(AND(SUM(VLOOKUP($A12,test!$A$3:$F$32,2,FALSE),VLOOKUP(Y$1,test!$A$3:$F$32,2,FALSE))&lt;test!$K$16,$A12&lt;&gt;Y$1,feasible_mat!Y12=1),SUM(VLOOKUP($A12,test!$A$3:$F$32,2,FALSE),VLOOKUP(Y$1,test!$A$3:$F$32,2,FALSE)),0)</f>
        <v>0</v>
      </c>
      <c r="Z12">
        <f>IF(AND(SUM(VLOOKUP($A12,test!$A$3:$F$32,2,FALSE),VLOOKUP(Z$1,test!$A$3:$F$32,2,FALSE))&lt;test!$K$16,$A12&lt;&gt;Z$1,feasible_mat!Z12=1),SUM(VLOOKUP($A12,test!$A$3:$F$32,2,FALSE),VLOOKUP(Z$1,test!$A$3:$F$32,2,FALSE)),0)</f>
        <v>0</v>
      </c>
      <c r="AA12">
        <f>IF(AND(SUM(VLOOKUP($A12,test!$A$3:$F$32,2,FALSE),VLOOKUP(AA$1,test!$A$3:$F$32,2,FALSE))&lt;test!$K$16,$A12&lt;&gt;AA$1,feasible_mat!AA12=1),SUM(VLOOKUP($A12,test!$A$3:$F$32,2,FALSE),VLOOKUP(AA$1,test!$A$3:$F$32,2,FALSE)),0)</f>
        <v>280</v>
      </c>
      <c r="AB12">
        <f>IF(AND(SUM(VLOOKUP($A12,test!$A$3:$F$32,2,FALSE),VLOOKUP(AB$1,test!$A$3:$F$32,2,FALSE))&lt;test!$K$16,$A12&lt;&gt;AB$1,feasible_mat!AB12=1),SUM(VLOOKUP($A12,test!$A$3:$F$32,2,FALSE),VLOOKUP(AB$1,test!$A$3:$F$32,2,FALSE)),0)</f>
        <v>280</v>
      </c>
      <c r="AC12">
        <f>IF(AND(SUM(VLOOKUP($A12,test!$A$3:$F$32,2,FALSE),VLOOKUP(AC$1,test!$A$3:$F$32,2,FALSE))&lt;test!$K$16,$A12&lt;&gt;AC$1,feasible_mat!AC12=1),SUM(VLOOKUP($A12,test!$A$3:$F$32,2,FALSE),VLOOKUP(AC$1,test!$A$3:$F$32,2,FALSE)),0)</f>
        <v>280</v>
      </c>
      <c r="AD12">
        <f>IF(AND(SUM(VLOOKUP($A12,test!$A$3:$F$32,2,FALSE),VLOOKUP(AD$1,test!$A$3:$F$32,2,FALSE))&lt;test!$K$16,$A12&lt;&gt;AD$1,feasible_mat!AD12=1),SUM(VLOOKUP($A12,test!$A$3:$F$32,2,FALSE),VLOOKUP(AD$1,test!$A$3:$F$32,2,FALSE)),0)</f>
        <v>0</v>
      </c>
      <c r="AE12">
        <f>IF(AND(SUM(VLOOKUP($A12,test!$A$3:$F$32,2,FALSE),VLOOKUP(AE$1,test!$A$3:$F$32,2,FALSE))&lt;test!$K$16,$A12&lt;&gt;AE$1,feasible_mat!AE12=1),SUM(VLOOKUP($A12,test!$A$3:$F$32,2,FALSE),VLOOKUP(AE$1,test!$A$3:$F$32,2,FALSE)),0)</f>
        <v>0</v>
      </c>
      <c r="AF12">
        <f>IF(AND(SUM(VLOOKUP($A12,test!$A$3:$F$32,2,FALSE),VLOOKUP(AF$1,test!$A$3:$F$32,2,FALSE))&lt;test!$K$16,$A12&lt;&gt;AF$1,feasible_mat!AF12=1),SUM(VLOOKUP($A12,test!$A$3:$F$32,2,FALSE),VLOOKUP(AF$1,test!$A$3:$F$32,2,FALSE)),0)</f>
        <v>0</v>
      </c>
      <c r="AG12">
        <v>60</v>
      </c>
      <c r="AH12">
        <v>75</v>
      </c>
      <c r="AI12">
        <v>70</v>
      </c>
    </row>
    <row r="13" spans="1:35" x14ac:dyDescent="0.25">
      <c r="A13" t="s">
        <v>21</v>
      </c>
      <c r="B13">
        <v>0</v>
      </c>
      <c r="C13">
        <f>IF(AND(SUM(VLOOKUP($A13,test!$A$3:$F$32,2,FALSE),VLOOKUP(C$1,test!$A$3:$F$32,2,FALSE))&lt;test!$K$16,$A13&lt;&gt;C$1,feasible_mat!C13=1),SUM(VLOOKUP($A13,test!$A$3:$F$32,2,FALSE),VLOOKUP(C$1,test!$A$3:$F$32,2,FALSE)),0)</f>
        <v>0</v>
      </c>
      <c r="D13">
        <f>IF(AND(SUM(VLOOKUP($A13,test!$A$3:$F$32,2,FALSE),VLOOKUP(D$1,test!$A$3:$F$32,2,FALSE))&lt;test!$K$16,$A13&lt;&gt;D$1,feasible_mat!D13=1),SUM(VLOOKUP($A13,test!$A$3:$F$32,2,FALSE),VLOOKUP(D$1,test!$A$3:$F$32,2,FALSE)),0)</f>
        <v>0</v>
      </c>
      <c r="E13">
        <f>IF(AND(SUM(VLOOKUP($A13,test!$A$3:$F$32,2,FALSE),VLOOKUP(E$1,test!$A$3:$F$32,2,FALSE))&lt;test!$K$16,$A13&lt;&gt;E$1,feasible_mat!E13=1),SUM(VLOOKUP($A13,test!$A$3:$F$32,2,FALSE),VLOOKUP(E$1,test!$A$3:$F$32,2,FALSE)),0)</f>
        <v>0</v>
      </c>
      <c r="F13">
        <f>IF(AND(SUM(VLOOKUP($A13,test!$A$3:$F$32,2,FALSE),VLOOKUP(F$1,test!$A$3:$F$32,2,FALSE))&lt;test!$K$16,$A13&lt;&gt;F$1,feasible_mat!F13=1),SUM(VLOOKUP($A13,test!$A$3:$F$32,2,FALSE),VLOOKUP(F$1,test!$A$3:$F$32,2,FALSE)),0)</f>
        <v>0</v>
      </c>
      <c r="G13">
        <f>IF(AND(SUM(VLOOKUP($A13,test!$A$3:$F$32,2,FALSE),VLOOKUP(G$1,test!$A$3:$F$32,2,FALSE))&lt;test!$K$16,$A13&lt;&gt;G$1,feasible_mat!G13=1),SUM(VLOOKUP($A13,test!$A$3:$F$32,2,FALSE),VLOOKUP(G$1,test!$A$3:$F$32,2,FALSE)),0)</f>
        <v>0</v>
      </c>
      <c r="H13">
        <f>IF(AND(SUM(VLOOKUP($A13,test!$A$3:$F$32,2,FALSE),VLOOKUP(H$1,test!$A$3:$F$32,2,FALSE))&lt;test!$K$16,$A13&lt;&gt;H$1,feasible_mat!H13=1),SUM(VLOOKUP($A13,test!$A$3:$F$32,2,FALSE),VLOOKUP(H$1,test!$A$3:$F$32,2,FALSE)),0)</f>
        <v>0</v>
      </c>
      <c r="I13">
        <f>IF(AND(SUM(VLOOKUP($A13,test!$A$3:$F$32,2,FALSE),VLOOKUP(I$1,test!$A$3:$F$32,2,FALSE))&lt;test!$K$16,$A13&lt;&gt;I$1,feasible_mat!I13=1),SUM(VLOOKUP($A13,test!$A$3:$F$32,2,FALSE),VLOOKUP(I$1,test!$A$3:$F$32,2,FALSE)),0)</f>
        <v>0</v>
      </c>
      <c r="J13">
        <f>IF(AND(SUM(VLOOKUP($A13,test!$A$3:$F$32,2,FALSE),VLOOKUP(J$1,test!$A$3:$F$32,2,FALSE))&lt;test!$K$16,$A13&lt;&gt;J$1,feasible_mat!J13=1),SUM(VLOOKUP($A13,test!$A$3:$F$32,2,FALSE),VLOOKUP(J$1,test!$A$3:$F$32,2,FALSE)),0)</f>
        <v>0</v>
      </c>
      <c r="K13">
        <f>IF(AND(SUM(VLOOKUP($A13,test!$A$3:$F$32,2,FALSE),VLOOKUP(K$1,test!$A$3:$F$32,2,FALSE))&lt;test!$K$16,$A13&lt;&gt;K$1,feasible_mat!K13=1),SUM(VLOOKUP($A13,test!$A$3:$F$32,2,FALSE),VLOOKUP(K$1,test!$A$3:$F$32,2,FALSE)),0)</f>
        <v>0</v>
      </c>
      <c r="L13">
        <f>IF(AND(SUM(VLOOKUP($A13,test!$A$3:$F$32,2,FALSE),VLOOKUP(L$1,test!$A$3:$F$32,2,FALSE))&lt;test!$K$16,$A13&lt;&gt;L$1,feasible_mat!L13=1),SUM(VLOOKUP($A13,test!$A$3:$F$32,2,FALSE),VLOOKUP(L$1,test!$A$3:$F$32,2,FALSE)),0)</f>
        <v>0</v>
      </c>
      <c r="M13">
        <f>IF(AND(SUM(VLOOKUP($A13,test!$A$3:$F$32,2,FALSE),VLOOKUP(M$1,test!$A$3:$F$32,2,FALSE))&lt;test!$K$16,$A13&lt;&gt;M$1,feasible_mat!M13=1),SUM(VLOOKUP($A13,test!$A$3:$F$32,2,FALSE),VLOOKUP(M$1,test!$A$3:$F$32,2,FALSE)),0)</f>
        <v>0</v>
      </c>
      <c r="N13">
        <f>IF(AND(SUM(VLOOKUP($A13,test!$A$3:$F$32,2,FALSE),VLOOKUP(N$1,test!$A$3:$F$32,2,FALSE))&lt;test!$K$16,$A13&lt;&gt;N$1,feasible_mat!N13=1),SUM(VLOOKUP($A13,test!$A$3:$F$32,2,FALSE),VLOOKUP(N$1,test!$A$3:$F$32,2,FALSE)),0)</f>
        <v>0</v>
      </c>
      <c r="O13">
        <f>IF(AND(SUM(VLOOKUP($A13,test!$A$3:$F$32,2,FALSE),VLOOKUP(O$1,test!$A$3:$F$32,2,FALSE))&lt;test!$K$16,$A13&lt;&gt;O$1,feasible_mat!O13=1),SUM(VLOOKUP($A13,test!$A$3:$F$32,2,FALSE),VLOOKUP(O$1,test!$A$3:$F$32,2,FALSE)),0)</f>
        <v>0</v>
      </c>
      <c r="P13">
        <f>IF(AND(SUM(VLOOKUP($A13,test!$A$3:$F$32,2,FALSE),VLOOKUP(P$1,test!$A$3:$F$32,2,FALSE))&lt;test!$K$16,$A13&lt;&gt;P$1,feasible_mat!P13=1),SUM(VLOOKUP($A13,test!$A$3:$F$32,2,FALSE),VLOOKUP(P$1,test!$A$3:$F$32,2,FALSE)),0)</f>
        <v>0</v>
      </c>
      <c r="Q13">
        <f>IF(AND(SUM(VLOOKUP($A13,test!$A$3:$F$32,2,FALSE),VLOOKUP(Q$1,test!$A$3:$F$32,2,FALSE))&lt;test!$K$16,$A13&lt;&gt;Q$1,feasible_mat!Q13=1),SUM(VLOOKUP($A13,test!$A$3:$F$32,2,FALSE),VLOOKUP(Q$1,test!$A$3:$F$32,2,FALSE)),0)</f>
        <v>0</v>
      </c>
      <c r="R13">
        <f>IF(AND(SUM(VLOOKUP($A13,test!$A$3:$F$32,2,FALSE),VLOOKUP(R$1,test!$A$3:$F$32,2,FALSE))&lt;test!$K$16,$A13&lt;&gt;R$1,feasible_mat!R13=1),SUM(VLOOKUP($A13,test!$A$3:$F$32,2,FALSE),VLOOKUP(R$1,test!$A$3:$F$32,2,FALSE)),0)</f>
        <v>0</v>
      </c>
      <c r="S13">
        <f>IF(AND(SUM(VLOOKUP($A13,test!$A$3:$F$32,2,FALSE),VLOOKUP(S$1,test!$A$3:$F$32,2,FALSE))&lt;test!$K$16,$A13&lt;&gt;S$1,feasible_mat!S13=1),SUM(VLOOKUP($A13,test!$A$3:$F$32,2,FALSE),VLOOKUP(S$1,test!$A$3:$F$32,2,FALSE)),0)</f>
        <v>0</v>
      </c>
      <c r="T13">
        <f>IF(AND(SUM(VLOOKUP($A13,test!$A$3:$F$32,2,FALSE),VLOOKUP(T$1,test!$A$3:$F$32,2,FALSE))&lt;test!$K$16,$A13&lt;&gt;T$1,feasible_mat!T13=1),SUM(VLOOKUP($A13,test!$A$3:$F$32,2,FALSE),VLOOKUP(T$1,test!$A$3:$F$32,2,FALSE)),0)</f>
        <v>0</v>
      </c>
      <c r="U13">
        <f>IF(AND(SUM(VLOOKUP($A13,test!$A$3:$F$32,2,FALSE),VLOOKUP(U$1,test!$A$3:$F$32,2,FALSE))&lt;test!$K$16,$A13&lt;&gt;U$1,feasible_mat!U13=1),SUM(VLOOKUP($A13,test!$A$3:$F$32,2,FALSE),VLOOKUP(U$1,test!$A$3:$F$32,2,FALSE)),0)</f>
        <v>0</v>
      </c>
      <c r="V13">
        <f>IF(AND(SUM(VLOOKUP($A13,test!$A$3:$F$32,2,FALSE),VLOOKUP(V$1,test!$A$3:$F$32,2,FALSE))&lt;test!$K$16,$A13&lt;&gt;V$1,feasible_mat!V13=1),SUM(VLOOKUP($A13,test!$A$3:$F$32,2,FALSE),VLOOKUP(V$1,test!$A$3:$F$32,2,FALSE)),0)</f>
        <v>0</v>
      </c>
      <c r="W13">
        <f>IF(AND(SUM(VLOOKUP($A13,test!$A$3:$F$32,2,FALSE),VLOOKUP(W$1,test!$A$3:$F$32,2,FALSE))&lt;test!$K$16,$A13&lt;&gt;W$1,feasible_mat!W13=1),SUM(VLOOKUP($A13,test!$A$3:$F$32,2,FALSE),VLOOKUP(W$1,test!$A$3:$F$32,2,FALSE)),0)</f>
        <v>0</v>
      </c>
      <c r="X13">
        <f>IF(AND(SUM(VLOOKUP($A13,test!$A$3:$F$32,2,FALSE),VLOOKUP(X$1,test!$A$3:$F$32,2,FALSE))&lt;test!$K$16,$A13&lt;&gt;X$1,feasible_mat!X13=1),SUM(VLOOKUP($A13,test!$A$3:$F$32,2,FALSE),VLOOKUP(X$1,test!$A$3:$F$32,2,FALSE)),0)</f>
        <v>0</v>
      </c>
      <c r="Y13">
        <f>IF(AND(SUM(VLOOKUP($A13,test!$A$3:$F$32,2,FALSE),VLOOKUP(Y$1,test!$A$3:$F$32,2,FALSE))&lt;test!$K$16,$A13&lt;&gt;Y$1,feasible_mat!Y13=1),SUM(VLOOKUP($A13,test!$A$3:$F$32,2,FALSE),VLOOKUP(Y$1,test!$A$3:$F$32,2,FALSE)),0)</f>
        <v>0</v>
      </c>
      <c r="Z13">
        <f>IF(AND(SUM(VLOOKUP($A13,test!$A$3:$F$32,2,FALSE),VLOOKUP(Z$1,test!$A$3:$F$32,2,FALSE))&lt;test!$K$16,$A13&lt;&gt;Z$1,feasible_mat!Z13=1),SUM(VLOOKUP($A13,test!$A$3:$F$32,2,FALSE),VLOOKUP(Z$1,test!$A$3:$F$32,2,FALSE)),0)</f>
        <v>0</v>
      </c>
      <c r="AA13">
        <f>IF(AND(SUM(VLOOKUP($A13,test!$A$3:$F$32,2,FALSE),VLOOKUP(AA$1,test!$A$3:$F$32,2,FALSE))&lt;test!$K$16,$A13&lt;&gt;AA$1,feasible_mat!AA13=1),SUM(VLOOKUP($A13,test!$A$3:$F$32,2,FALSE),VLOOKUP(AA$1,test!$A$3:$F$32,2,FALSE)),0)</f>
        <v>0</v>
      </c>
      <c r="AB13">
        <f>IF(AND(SUM(VLOOKUP($A13,test!$A$3:$F$32,2,FALSE),VLOOKUP(AB$1,test!$A$3:$F$32,2,FALSE))&lt;test!$K$16,$A13&lt;&gt;AB$1,feasible_mat!AB13=1),SUM(VLOOKUP($A13,test!$A$3:$F$32,2,FALSE),VLOOKUP(AB$1,test!$A$3:$F$32,2,FALSE)),0)</f>
        <v>0</v>
      </c>
      <c r="AC13">
        <f>IF(AND(SUM(VLOOKUP($A13,test!$A$3:$F$32,2,FALSE),VLOOKUP(AC$1,test!$A$3:$F$32,2,FALSE))&lt;test!$K$16,$A13&lt;&gt;AC$1,feasible_mat!AC13=1),SUM(VLOOKUP($A13,test!$A$3:$F$32,2,FALSE),VLOOKUP(AC$1,test!$A$3:$F$32,2,FALSE)),0)</f>
        <v>280</v>
      </c>
      <c r="AD13">
        <f>IF(AND(SUM(VLOOKUP($A13,test!$A$3:$F$32,2,FALSE),VLOOKUP(AD$1,test!$A$3:$F$32,2,FALSE))&lt;test!$K$16,$A13&lt;&gt;AD$1,feasible_mat!AD13=1),SUM(VLOOKUP($A13,test!$A$3:$F$32,2,FALSE),VLOOKUP(AD$1,test!$A$3:$F$32,2,FALSE)),0)</f>
        <v>0</v>
      </c>
      <c r="AE13">
        <f>IF(AND(SUM(VLOOKUP($A13,test!$A$3:$F$32,2,FALSE),VLOOKUP(AE$1,test!$A$3:$F$32,2,FALSE))&lt;test!$K$16,$A13&lt;&gt;AE$1,feasible_mat!AE13=1),SUM(VLOOKUP($A13,test!$A$3:$F$32,2,FALSE),VLOOKUP(AE$1,test!$A$3:$F$32,2,FALSE)),0)</f>
        <v>0</v>
      </c>
      <c r="AF13">
        <f>IF(AND(SUM(VLOOKUP($A13,test!$A$3:$F$32,2,FALSE),VLOOKUP(AF$1,test!$A$3:$F$32,2,FALSE))&lt;test!$K$16,$A13&lt;&gt;AF$1,feasible_mat!AF13=1),SUM(VLOOKUP($A13,test!$A$3:$F$32,2,FALSE),VLOOKUP(AF$1,test!$A$3:$F$32,2,FALSE)),0)</f>
        <v>0</v>
      </c>
      <c r="AG13">
        <v>60</v>
      </c>
      <c r="AH13">
        <v>75</v>
      </c>
      <c r="AI13">
        <v>70</v>
      </c>
    </row>
    <row r="14" spans="1:35" x14ac:dyDescent="0.25">
      <c r="A14" t="s">
        <v>22</v>
      </c>
      <c r="B14">
        <v>0</v>
      </c>
      <c r="C14">
        <f>IF(AND(SUM(VLOOKUP($A14,test!$A$3:$F$32,2,FALSE),VLOOKUP(C$1,test!$A$3:$F$32,2,FALSE))&lt;test!$K$16,$A14&lt;&gt;C$1,feasible_mat!C14=1),SUM(VLOOKUP($A14,test!$A$3:$F$32,2,FALSE),VLOOKUP(C$1,test!$A$3:$F$32,2,FALSE)),0)</f>
        <v>0</v>
      </c>
      <c r="D14">
        <f>IF(AND(SUM(VLOOKUP($A14,test!$A$3:$F$32,2,FALSE),VLOOKUP(D$1,test!$A$3:$F$32,2,FALSE))&lt;test!$K$16,$A14&lt;&gt;D$1,feasible_mat!D14=1),SUM(VLOOKUP($A14,test!$A$3:$F$32,2,FALSE),VLOOKUP(D$1,test!$A$3:$F$32,2,FALSE)),0)</f>
        <v>0</v>
      </c>
      <c r="E14">
        <f>IF(AND(SUM(VLOOKUP($A14,test!$A$3:$F$32,2,FALSE),VLOOKUP(E$1,test!$A$3:$F$32,2,FALSE))&lt;test!$K$16,$A14&lt;&gt;E$1,feasible_mat!E14=1),SUM(VLOOKUP($A14,test!$A$3:$F$32,2,FALSE),VLOOKUP(E$1,test!$A$3:$F$32,2,FALSE)),0)</f>
        <v>0</v>
      </c>
      <c r="F14">
        <f>IF(AND(SUM(VLOOKUP($A14,test!$A$3:$F$32,2,FALSE),VLOOKUP(F$1,test!$A$3:$F$32,2,FALSE))&lt;test!$K$16,$A14&lt;&gt;F$1,feasible_mat!F14=1),SUM(VLOOKUP($A14,test!$A$3:$F$32,2,FALSE),VLOOKUP(F$1,test!$A$3:$F$32,2,FALSE)),0)</f>
        <v>0</v>
      </c>
      <c r="G14">
        <f>IF(AND(SUM(VLOOKUP($A14,test!$A$3:$F$32,2,FALSE),VLOOKUP(G$1,test!$A$3:$F$32,2,FALSE))&lt;test!$K$16,$A14&lt;&gt;G$1,feasible_mat!G14=1),SUM(VLOOKUP($A14,test!$A$3:$F$32,2,FALSE),VLOOKUP(G$1,test!$A$3:$F$32,2,FALSE)),0)</f>
        <v>0</v>
      </c>
      <c r="H14">
        <f>IF(AND(SUM(VLOOKUP($A14,test!$A$3:$F$32,2,FALSE),VLOOKUP(H$1,test!$A$3:$F$32,2,FALSE))&lt;test!$K$16,$A14&lt;&gt;H$1,feasible_mat!H14=1),SUM(VLOOKUP($A14,test!$A$3:$F$32,2,FALSE),VLOOKUP(H$1,test!$A$3:$F$32,2,FALSE)),0)</f>
        <v>0</v>
      </c>
      <c r="I14">
        <f>IF(AND(SUM(VLOOKUP($A14,test!$A$3:$F$32,2,FALSE),VLOOKUP(I$1,test!$A$3:$F$32,2,FALSE))&lt;test!$K$16,$A14&lt;&gt;I$1,feasible_mat!I14=1),SUM(VLOOKUP($A14,test!$A$3:$F$32,2,FALSE),VLOOKUP(I$1,test!$A$3:$F$32,2,FALSE)),0)</f>
        <v>0</v>
      </c>
      <c r="J14">
        <f>IF(AND(SUM(VLOOKUP($A14,test!$A$3:$F$32,2,FALSE),VLOOKUP(J$1,test!$A$3:$F$32,2,FALSE))&lt;test!$K$16,$A14&lt;&gt;J$1,feasible_mat!J14=1),SUM(VLOOKUP($A14,test!$A$3:$F$32,2,FALSE),VLOOKUP(J$1,test!$A$3:$F$32,2,FALSE)),0)</f>
        <v>0</v>
      </c>
      <c r="K14">
        <f>IF(AND(SUM(VLOOKUP($A14,test!$A$3:$F$32,2,FALSE),VLOOKUP(K$1,test!$A$3:$F$32,2,FALSE))&lt;test!$K$16,$A14&lt;&gt;K$1,feasible_mat!K14=1),SUM(VLOOKUP($A14,test!$A$3:$F$32,2,FALSE),VLOOKUP(K$1,test!$A$3:$F$32,2,FALSE)),0)</f>
        <v>0</v>
      </c>
      <c r="L14">
        <f>IF(AND(SUM(VLOOKUP($A14,test!$A$3:$F$32,2,FALSE),VLOOKUP(L$1,test!$A$3:$F$32,2,FALSE))&lt;test!$K$16,$A14&lt;&gt;L$1,feasible_mat!L14=1),SUM(VLOOKUP($A14,test!$A$3:$F$32,2,FALSE),VLOOKUP(L$1,test!$A$3:$F$32,2,FALSE)),0)</f>
        <v>0</v>
      </c>
      <c r="M14">
        <f>IF(AND(SUM(VLOOKUP($A14,test!$A$3:$F$32,2,FALSE),VLOOKUP(M$1,test!$A$3:$F$32,2,FALSE))&lt;test!$K$16,$A14&lt;&gt;M$1,feasible_mat!M14=1),SUM(VLOOKUP($A14,test!$A$3:$F$32,2,FALSE),VLOOKUP(M$1,test!$A$3:$F$32,2,FALSE)),0)</f>
        <v>0</v>
      </c>
      <c r="N14">
        <f>IF(AND(SUM(VLOOKUP($A14,test!$A$3:$F$32,2,FALSE),VLOOKUP(N$1,test!$A$3:$F$32,2,FALSE))&lt;test!$K$16,$A14&lt;&gt;N$1,feasible_mat!N14=1),SUM(VLOOKUP($A14,test!$A$3:$F$32,2,FALSE),VLOOKUP(N$1,test!$A$3:$F$32,2,FALSE)),0)</f>
        <v>0</v>
      </c>
      <c r="O14">
        <f>IF(AND(SUM(VLOOKUP($A14,test!$A$3:$F$32,2,FALSE),VLOOKUP(O$1,test!$A$3:$F$32,2,FALSE))&lt;test!$K$16,$A14&lt;&gt;O$1,feasible_mat!O14=1),SUM(VLOOKUP($A14,test!$A$3:$F$32,2,FALSE),VLOOKUP(O$1,test!$A$3:$F$32,2,FALSE)),0)</f>
        <v>0</v>
      </c>
      <c r="P14">
        <f>IF(AND(SUM(VLOOKUP($A14,test!$A$3:$F$32,2,FALSE),VLOOKUP(P$1,test!$A$3:$F$32,2,FALSE))&lt;test!$K$16,$A14&lt;&gt;P$1,feasible_mat!P14=1),SUM(VLOOKUP($A14,test!$A$3:$F$32,2,FALSE),VLOOKUP(P$1,test!$A$3:$F$32,2,FALSE)),0)</f>
        <v>0</v>
      </c>
      <c r="Q14">
        <f>IF(AND(SUM(VLOOKUP($A14,test!$A$3:$F$32,2,FALSE),VLOOKUP(Q$1,test!$A$3:$F$32,2,FALSE))&lt;test!$K$16,$A14&lt;&gt;Q$1,feasible_mat!Q14=1),SUM(VLOOKUP($A14,test!$A$3:$F$32,2,FALSE),VLOOKUP(Q$1,test!$A$3:$F$32,2,FALSE)),0)</f>
        <v>0</v>
      </c>
      <c r="R14">
        <f>IF(AND(SUM(VLOOKUP($A14,test!$A$3:$F$32,2,FALSE),VLOOKUP(R$1,test!$A$3:$F$32,2,FALSE))&lt;test!$K$16,$A14&lt;&gt;R$1,feasible_mat!R14=1),SUM(VLOOKUP($A14,test!$A$3:$F$32,2,FALSE),VLOOKUP(R$1,test!$A$3:$F$32,2,FALSE)),0)</f>
        <v>0</v>
      </c>
      <c r="S14">
        <f>IF(AND(SUM(VLOOKUP($A14,test!$A$3:$F$32,2,FALSE),VLOOKUP(S$1,test!$A$3:$F$32,2,FALSE))&lt;test!$K$16,$A14&lt;&gt;S$1,feasible_mat!S14=1),SUM(VLOOKUP($A14,test!$A$3:$F$32,2,FALSE),VLOOKUP(S$1,test!$A$3:$F$32,2,FALSE)),0)</f>
        <v>0</v>
      </c>
      <c r="T14">
        <f>IF(AND(SUM(VLOOKUP($A14,test!$A$3:$F$32,2,FALSE),VLOOKUP(T$1,test!$A$3:$F$32,2,FALSE))&lt;test!$K$16,$A14&lt;&gt;T$1,feasible_mat!T14=1),SUM(VLOOKUP($A14,test!$A$3:$F$32,2,FALSE),VLOOKUP(T$1,test!$A$3:$F$32,2,FALSE)),0)</f>
        <v>0</v>
      </c>
      <c r="U14">
        <f>IF(AND(SUM(VLOOKUP($A14,test!$A$3:$F$32,2,FALSE),VLOOKUP(U$1,test!$A$3:$F$32,2,FALSE))&lt;test!$K$16,$A14&lt;&gt;U$1,feasible_mat!U14=1),SUM(VLOOKUP($A14,test!$A$3:$F$32,2,FALSE),VLOOKUP(U$1,test!$A$3:$F$32,2,FALSE)),0)</f>
        <v>0</v>
      </c>
      <c r="V14">
        <f>IF(AND(SUM(VLOOKUP($A14,test!$A$3:$F$32,2,FALSE),VLOOKUP(V$1,test!$A$3:$F$32,2,FALSE))&lt;test!$K$16,$A14&lt;&gt;V$1,feasible_mat!V14=1),SUM(VLOOKUP($A14,test!$A$3:$F$32,2,FALSE),VLOOKUP(V$1,test!$A$3:$F$32,2,FALSE)),0)</f>
        <v>0</v>
      </c>
      <c r="W14">
        <f>IF(AND(SUM(VLOOKUP($A14,test!$A$3:$F$32,2,FALSE),VLOOKUP(W$1,test!$A$3:$F$32,2,FALSE))&lt;test!$K$16,$A14&lt;&gt;W$1,feasible_mat!W14=1),SUM(VLOOKUP($A14,test!$A$3:$F$32,2,FALSE),VLOOKUP(W$1,test!$A$3:$F$32,2,FALSE)),0)</f>
        <v>0</v>
      </c>
      <c r="X14">
        <f>IF(AND(SUM(VLOOKUP($A14,test!$A$3:$F$32,2,FALSE),VLOOKUP(X$1,test!$A$3:$F$32,2,FALSE))&lt;test!$K$16,$A14&lt;&gt;X$1,feasible_mat!X14=1),SUM(VLOOKUP($A14,test!$A$3:$F$32,2,FALSE),VLOOKUP(X$1,test!$A$3:$F$32,2,FALSE)),0)</f>
        <v>0</v>
      </c>
      <c r="Y14">
        <f>IF(AND(SUM(VLOOKUP($A14,test!$A$3:$F$32,2,FALSE),VLOOKUP(Y$1,test!$A$3:$F$32,2,FALSE))&lt;test!$K$16,$A14&lt;&gt;Y$1,feasible_mat!Y14=1),SUM(VLOOKUP($A14,test!$A$3:$F$32,2,FALSE),VLOOKUP(Y$1,test!$A$3:$F$32,2,FALSE)),0)</f>
        <v>0</v>
      </c>
      <c r="Z14">
        <f>IF(AND(SUM(VLOOKUP($A14,test!$A$3:$F$32,2,FALSE),VLOOKUP(Z$1,test!$A$3:$F$32,2,FALSE))&lt;test!$K$16,$A14&lt;&gt;Z$1,feasible_mat!Z14=1),SUM(VLOOKUP($A14,test!$A$3:$F$32,2,FALSE),VLOOKUP(Z$1,test!$A$3:$F$32,2,FALSE)),0)</f>
        <v>0</v>
      </c>
      <c r="AA14">
        <f>IF(AND(SUM(VLOOKUP($A14,test!$A$3:$F$32,2,FALSE),VLOOKUP(AA$1,test!$A$3:$F$32,2,FALSE))&lt;test!$K$16,$A14&lt;&gt;AA$1,feasible_mat!AA14=1),SUM(VLOOKUP($A14,test!$A$3:$F$32,2,FALSE),VLOOKUP(AA$1,test!$A$3:$F$32,2,FALSE)),0)</f>
        <v>0</v>
      </c>
      <c r="AB14">
        <f>IF(AND(SUM(VLOOKUP($A14,test!$A$3:$F$32,2,FALSE),VLOOKUP(AB$1,test!$A$3:$F$32,2,FALSE))&lt;test!$K$16,$A14&lt;&gt;AB$1,feasible_mat!AB14=1),SUM(VLOOKUP($A14,test!$A$3:$F$32,2,FALSE),VLOOKUP(AB$1,test!$A$3:$F$32,2,FALSE)),0)</f>
        <v>0</v>
      </c>
      <c r="AC14">
        <f>IF(AND(SUM(VLOOKUP($A14,test!$A$3:$F$32,2,FALSE),VLOOKUP(AC$1,test!$A$3:$F$32,2,FALSE))&lt;test!$K$16,$A14&lt;&gt;AC$1,feasible_mat!AC14=1),SUM(VLOOKUP($A14,test!$A$3:$F$32,2,FALSE),VLOOKUP(AC$1,test!$A$3:$F$32,2,FALSE)),0)</f>
        <v>0</v>
      </c>
      <c r="AD14">
        <f>IF(AND(SUM(VLOOKUP($A14,test!$A$3:$F$32,2,FALSE),VLOOKUP(AD$1,test!$A$3:$F$32,2,FALSE))&lt;test!$K$16,$A14&lt;&gt;AD$1,feasible_mat!AD14=1),SUM(VLOOKUP($A14,test!$A$3:$F$32,2,FALSE),VLOOKUP(AD$1,test!$A$3:$F$32,2,FALSE)),0)</f>
        <v>0</v>
      </c>
      <c r="AE14">
        <f>IF(AND(SUM(VLOOKUP($A14,test!$A$3:$F$32,2,FALSE),VLOOKUP(AE$1,test!$A$3:$F$32,2,FALSE))&lt;test!$K$16,$A14&lt;&gt;AE$1,feasible_mat!AE14=1),SUM(VLOOKUP($A14,test!$A$3:$F$32,2,FALSE),VLOOKUP(AE$1,test!$A$3:$F$32,2,FALSE)),0)</f>
        <v>0</v>
      </c>
      <c r="AF14">
        <f>IF(AND(SUM(VLOOKUP($A14,test!$A$3:$F$32,2,FALSE),VLOOKUP(AF$1,test!$A$3:$F$32,2,FALSE))&lt;test!$K$16,$A14&lt;&gt;AF$1,feasible_mat!AF14=1),SUM(VLOOKUP($A14,test!$A$3:$F$32,2,FALSE),VLOOKUP(AF$1,test!$A$3:$F$32,2,FALSE)),0)</f>
        <v>0</v>
      </c>
      <c r="AG14">
        <v>60</v>
      </c>
      <c r="AH14">
        <v>75</v>
      </c>
      <c r="AI14">
        <v>70</v>
      </c>
    </row>
    <row r="15" spans="1:35" x14ac:dyDescent="0.25">
      <c r="A15" t="s">
        <v>23</v>
      </c>
      <c r="B15">
        <v>0</v>
      </c>
      <c r="C15">
        <f>IF(AND(SUM(VLOOKUP($A15,test!$A$3:$F$32,2,FALSE),VLOOKUP(C$1,test!$A$3:$F$32,2,FALSE))&lt;test!$K$16,$A15&lt;&gt;C$1,feasible_mat!C15=1),SUM(VLOOKUP($A15,test!$A$3:$F$32,2,FALSE),VLOOKUP(C$1,test!$A$3:$F$32,2,FALSE)),0)</f>
        <v>0</v>
      </c>
      <c r="D15">
        <f>IF(AND(SUM(VLOOKUP($A15,test!$A$3:$F$32,2,FALSE),VLOOKUP(D$1,test!$A$3:$F$32,2,FALSE))&lt;test!$K$16,$A15&lt;&gt;D$1,feasible_mat!D15=1),SUM(VLOOKUP($A15,test!$A$3:$F$32,2,FALSE),VLOOKUP(D$1,test!$A$3:$F$32,2,FALSE)),0)</f>
        <v>0</v>
      </c>
      <c r="E15">
        <f>IF(AND(SUM(VLOOKUP($A15,test!$A$3:$F$32,2,FALSE),VLOOKUP(E$1,test!$A$3:$F$32,2,FALSE))&lt;test!$K$16,$A15&lt;&gt;E$1,feasible_mat!E15=1),SUM(VLOOKUP($A15,test!$A$3:$F$32,2,FALSE),VLOOKUP(E$1,test!$A$3:$F$32,2,FALSE)),0)</f>
        <v>0</v>
      </c>
      <c r="F15">
        <f>IF(AND(SUM(VLOOKUP($A15,test!$A$3:$F$32,2,FALSE),VLOOKUP(F$1,test!$A$3:$F$32,2,FALSE))&lt;test!$K$16,$A15&lt;&gt;F$1,feasible_mat!F15=1),SUM(VLOOKUP($A15,test!$A$3:$F$32,2,FALSE),VLOOKUP(F$1,test!$A$3:$F$32,2,FALSE)),0)</f>
        <v>0</v>
      </c>
      <c r="G15">
        <f>IF(AND(SUM(VLOOKUP($A15,test!$A$3:$F$32,2,FALSE),VLOOKUP(G$1,test!$A$3:$F$32,2,FALSE))&lt;test!$K$16,$A15&lt;&gt;G$1,feasible_mat!G15=1),SUM(VLOOKUP($A15,test!$A$3:$F$32,2,FALSE),VLOOKUP(G$1,test!$A$3:$F$32,2,FALSE)),0)</f>
        <v>0</v>
      </c>
      <c r="H15">
        <f>IF(AND(SUM(VLOOKUP($A15,test!$A$3:$F$32,2,FALSE),VLOOKUP(H$1,test!$A$3:$F$32,2,FALSE))&lt;test!$K$16,$A15&lt;&gt;H$1,feasible_mat!H15=1),SUM(VLOOKUP($A15,test!$A$3:$F$32,2,FALSE),VLOOKUP(H$1,test!$A$3:$F$32,2,FALSE)),0)</f>
        <v>0</v>
      </c>
      <c r="I15">
        <f>IF(AND(SUM(VLOOKUP($A15,test!$A$3:$F$32,2,FALSE),VLOOKUP(I$1,test!$A$3:$F$32,2,FALSE))&lt;test!$K$16,$A15&lt;&gt;I$1,feasible_mat!I15=1),SUM(VLOOKUP($A15,test!$A$3:$F$32,2,FALSE),VLOOKUP(I$1,test!$A$3:$F$32,2,FALSE)),0)</f>
        <v>0</v>
      </c>
      <c r="J15">
        <f>IF(AND(SUM(VLOOKUP($A15,test!$A$3:$F$32,2,FALSE),VLOOKUP(J$1,test!$A$3:$F$32,2,FALSE))&lt;test!$K$16,$A15&lt;&gt;J$1,feasible_mat!J15=1),SUM(VLOOKUP($A15,test!$A$3:$F$32,2,FALSE),VLOOKUP(J$1,test!$A$3:$F$32,2,FALSE)),0)</f>
        <v>0</v>
      </c>
      <c r="K15">
        <f>IF(AND(SUM(VLOOKUP($A15,test!$A$3:$F$32,2,FALSE),VLOOKUP(K$1,test!$A$3:$F$32,2,FALSE))&lt;test!$K$16,$A15&lt;&gt;K$1,feasible_mat!K15=1),SUM(VLOOKUP($A15,test!$A$3:$F$32,2,FALSE),VLOOKUP(K$1,test!$A$3:$F$32,2,FALSE)),0)</f>
        <v>0</v>
      </c>
      <c r="L15">
        <f>IF(AND(SUM(VLOOKUP($A15,test!$A$3:$F$32,2,FALSE),VLOOKUP(L$1,test!$A$3:$F$32,2,FALSE))&lt;test!$K$16,$A15&lt;&gt;L$1,feasible_mat!L15=1),SUM(VLOOKUP($A15,test!$A$3:$F$32,2,FALSE),VLOOKUP(L$1,test!$A$3:$F$32,2,FALSE)),0)</f>
        <v>0</v>
      </c>
      <c r="M15">
        <f>IF(AND(SUM(VLOOKUP($A15,test!$A$3:$F$32,2,FALSE),VLOOKUP(M$1,test!$A$3:$F$32,2,FALSE))&lt;test!$K$16,$A15&lt;&gt;M$1,feasible_mat!M15=1),SUM(VLOOKUP($A15,test!$A$3:$F$32,2,FALSE),VLOOKUP(M$1,test!$A$3:$F$32,2,FALSE)),0)</f>
        <v>0</v>
      </c>
      <c r="N15">
        <f>IF(AND(SUM(VLOOKUP($A15,test!$A$3:$F$32,2,FALSE),VLOOKUP(N$1,test!$A$3:$F$32,2,FALSE))&lt;test!$K$16,$A15&lt;&gt;N$1,feasible_mat!N15=1),SUM(VLOOKUP($A15,test!$A$3:$F$32,2,FALSE),VLOOKUP(N$1,test!$A$3:$F$32,2,FALSE)),0)</f>
        <v>0</v>
      </c>
      <c r="O15">
        <f>IF(AND(SUM(VLOOKUP($A15,test!$A$3:$F$32,2,FALSE),VLOOKUP(O$1,test!$A$3:$F$32,2,FALSE))&lt;test!$K$16,$A15&lt;&gt;O$1,feasible_mat!O15=1),SUM(VLOOKUP($A15,test!$A$3:$F$32,2,FALSE),VLOOKUP(O$1,test!$A$3:$F$32,2,FALSE)),0)</f>
        <v>0</v>
      </c>
      <c r="P15">
        <f>IF(AND(SUM(VLOOKUP($A15,test!$A$3:$F$32,2,FALSE),VLOOKUP(P$1,test!$A$3:$F$32,2,FALSE))&lt;test!$K$16,$A15&lt;&gt;P$1,feasible_mat!P15=1),SUM(VLOOKUP($A15,test!$A$3:$F$32,2,FALSE),VLOOKUP(P$1,test!$A$3:$F$32,2,FALSE)),0)</f>
        <v>0</v>
      </c>
      <c r="Q15">
        <f>IF(AND(SUM(VLOOKUP($A15,test!$A$3:$F$32,2,FALSE),VLOOKUP(Q$1,test!$A$3:$F$32,2,FALSE))&lt;test!$K$16,$A15&lt;&gt;Q$1,feasible_mat!Q15=1),SUM(VLOOKUP($A15,test!$A$3:$F$32,2,FALSE),VLOOKUP(Q$1,test!$A$3:$F$32,2,FALSE)),0)</f>
        <v>0</v>
      </c>
      <c r="R15">
        <f>IF(AND(SUM(VLOOKUP($A15,test!$A$3:$F$32,2,FALSE),VLOOKUP(R$1,test!$A$3:$F$32,2,FALSE))&lt;test!$K$16,$A15&lt;&gt;R$1,feasible_mat!R15=1),SUM(VLOOKUP($A15,test!$A$3:$F$32,2,FALSE),VLOOKUP(R$1,test!$A$3:$F$32,2,FALSE)),0)</f>
        <v>0</v>
      </c>
      <c r="S15">
        <f>IF(AND(SUM(VLOOKUP($A15,test!$A$3:$F$32,2,FALSE),VLOOKUP(S$1,test!$A$3:$F$32,2,FALSE))&lt;test!$K$16,$A15&lt;&gt;S$1,feasible_mat!S15=1),SUM(VLOOKUP($A15,test!$A$3:$F$32,2,FALSE),VLOOKUP(S$1,test!$A$3:$F$32,2,FALSE)),0)</f>
        <v>0</v>
      </c>
      <c r="T15">
        <f>IF(AND(SUM(VLOOKUP($A15,test!$A$3:$F$32,2,FALSE),VLOOKUP(T$1,test!$A$3:$F$32,2,FALSE))&lt;test!$K$16,$A15&lt;&gt;T$1,feasible_mat!T15=1),SUM(VLOOKUP($A15,test!$A$3:$F$32,2,FALSE),VLOOKUP(T$1,test!$A$3:$F$32,2,FALSE)),0)</f>
        <v>0</v>
      </c>
      <c r="U15">
        <f>IF(AND(SUM(VLOOKUP($A15,test!$A$3:$F$32,2,FALSE),VLOOKUP(U$1,test!$A$3:$F$32,2,FALSE))&lt;test!$K$16,$A15&lt;&gt;U$1,feasible_mat!U15=1),SUM(VLOOKUP($A15,test!$A$3:$F$32,2,FALSE),VLOOKUP(U$1,test!$A$3:$F$32,2,FALSE)),0)</f>
        <v>0</v>
      </c>
      <c r="V15">
        <f>IF(AND(SUM(VLOOKUP($A15,test!$A$3:$F$32,2,FALSE),VLOOKUP(V$1,test!$A$3:$F$32,2,FALSE))&lt;test!$K$16,$A15&lt;&gt;V$1,feasible_mat!V15=1),SUM(VLOOKUP($A15,test!$A$3:$F$32,2,FALSE),VLOOKUP(V$1,test!$A$3:$F$32,2,FALSE)),0)</f>
        <v>0</v>
      </c>
      <c r="W15">
        <f>IF(AND(SUM(VLOOKUP($A15,test!$A$3:$F$32,2,FALSE),VLOOKUP(W$1,test!$A$3:$F$32,2,FALSE))&lt;test!$K$16,$A15&lt;&gt;W$1,feasible_mat!W15=1),SUM(VLOOKUP($A15,test!$A$3:$F$32,2,FALSE),VLOOKUP(W$1,test!$A$3:$F$32,2,FALSE)),0)</f>
        <v>0</v>
      </c>
      <c r="X15">
        <f>IF(AND(SUM(VLOOKUP($A15,test!$A$3:$F$32,2,FALSE),VLOOKUP(X$1,test!$A$3:$F$32,2,FALSE))&lt;test!$K$16,$A15&lt;&gt;X$1,feasible_mat!X15=1),SUM(VLOOKUP($A15,test!$A$3:$F$32,2,FALSE),VLOOKUP(X$1,test!$A$3:$F$32,2,FALSE)),0)</f>
        <v>0</v>
      </c>
      <c r="Y15">
        <f>IF(AND(SUM(VLOOKUP($A15,test!$A$3:$F$32,2,FALSE),VLOOKUP(Y$1,test!$A$3:$F$32,2,FALSE))&lt;test!$K$16,$A15&lt;&gt;Y$1,feasible_mat!Y15=1),SUM(VLOOKUP($A15,test!$A$3:$F$32,2,FALSE),VLOOKUP(Y$1,test!$A$3:$F$32,2,FALSE)),0)</f>
        <v>0</v>
      </c>
      <c r="Z15">
        <f>IF(AND(SUM(VLOOKUP($A15,test!$A$3:$F$32,2,FALSE),VLOOKUP(Z$1,test!$A$3:$F$32,2,FALSE))&lt;test!$K$16,$A15&lt;&gt;Z$1,feasible_mat!Z15=1),SUM(VLOOKUP($A15,test!$A$3:$F$32,2,FALSE),VLOOKUP(Z$1,test!$A$3:$F$32,2,FALSE)),0)</f>
        <v>0</v>
      </c>
      <c r="AA15">
        <f>IF(AND(SUM(VLOOKUP($A15,test!$A$3:$F$32,2,FALSE),VLOOKUP(AA$1,test!$A$3:$F$32,2,FALSE))&lt;test!$K$16,$A15&lt;&gt;AA$1,feasible_mat!AA15=1),SUM(VLOOKUP($A15,test!$A$3:$F$32,2,FALSE),VLOOKUP(AA$1,test!$A$3:$F$32,2,FALSE)),0)</f>
        <v>0</v>
      </c>
      <c r="AB15">
        <f>IF(AND(SUM(VLOOKUP($A15,test!$A$3:$F$32,2,FALSE),VLOOKUP(AB$1,test!$A$3:$F$32,2,FALSE))&lt;test!$K$16,$A15&lt;&gt;AB$1,feasible_mat!AB15=1),SUM(VLOOKUP($A15,test!$A$3:$F$32,2,FALSE),VLOOKUP(AB$1,test!$A$3:$F$32,2,FALSE)),0)</f>
        <v>0</v>
      </c>
      <c r="AC15">
        <f>IF(AND(SUM(VLOOKUP($A15,test!$A$3:$F$32,2,FALSE),VLOOKUP(AC$1,test!$A$3:$F$32,2,FALSE))&lt;test!$K$16,$A15&lt;&gt;AC$1,feasible_mat!AC15=1),SUM(VLOOKUP($A15,test!$A$3:$F$32,2,FALSE),VLOOKUP(AC$1,test!$A$3:$F$32,2,FALSE)),0)</f>
        <v>0</v>
      </c>
      <c r="AD15">
        <f>IF(AND(SUM(VLOOKUP($A15,test!$A$3:$F$32,2,FALSE),VLOOKUP(AD$1,test!$A$3:$F$32,2,FALSE))&lt;test!$K$16,$A15&lt;&gt;AD$1,feasible_mat!AD15=1),SUM(VLOOKUP($A15,test!$A$3:$F$32,2,FALSE),VLOOKUP(AD$1,test!$A$3:$F$32,2,FALSE)),0)</f>
        <v>0</v>
      </c>
      <c r="AE15">
        <f>IF(AND(SUM(VLOOKUP($A15,test!$A$3:$F$32,2,FALSE),VLOOKUP(AE$1,test!$A$3:$F$32,2,FALSE))&lt;test!$K$16,$A15&lt;&gt;AE$1,feasible_mat!AE15=1),SUM(VLOOKUP($A15,test!$A$3:$F$32,2,FALSE),VLOOKUP(AE$1,test!$A$3:$F$32,2,FALSE)),0)</f>
        <v>0</v>
      </c>
      <c r="AF15">
        <f>IF(AND(SUM(VLOOKUP($A15,test!$A$3:$F$32,2,FALSE),VLOOKUP(AF$1,test!$A$3:$F$32,2,FALSE))&lt;test!$K$16,$A15&lt;&gt;AF$1,feasible_mat!AF15=1),SUM(VLOOKUP($A15,test!$A$3:$F$32,2,FALSE),VLOOKUP(AF$1,test!$A$3:$F$32,2,FALSE)),0)</f>
        <v>0</v>
      </c>
      <c r="AG15">
        <v>60</v>
      </c>
      <c r="AH15">
        <v>75</v>
      </c>
      <c r="AI15">
        <v>70</v>
      </c>
    </row>
    <row r="16" spans="1:35" x14ac:dyDescent="0.25">
      <c r="A16" t="s">
        <v>24</v>
      </c>
      <c r="B16">
        <v>0</v>
      </c>
      <c r="C16">
        <f>IF(AND(SUM(VLOOKUP($A16,test!$A$3:$F$32,2,FALSE),VLOOKUP(C$1,test!$A$3:$F$32,2,FALSE))&lt;test!$K$16,$A16&lt;&gt;C$1,feasible_mat!C16=1),SUM(VLOOKUP($A16,test!$A$3:$F$32,2,FALSE),VLOOKUP(C$1,test!$A$3:$F$32,2,FALSE)),0)</f>
        <v>0</v>
      </c>
      <c r="D16">
        <f>IF(AND(SUM(VLOOKUP($A16,test!$A$3:$F$32,2,FALSE),VLOOKUP(D$1,test!$A$3:$F$32,2,FALSE))&lt;test!$K$16,$A16&lt;&gt;D$1,feasible_mat!D16=1),SUM(VLOOKUP($A16,test!$A$3:$F$32,2,FALSE),VLOOKUP(D$1,test!$A$3:$F$32,2,FALSE)),0)</f>
        <v>0</v>
      </c>
      <c r="E16">
        <f>IF(AND(SUM(VLOOKUP($A16,test!$A$3:$F$32,2,FALSE),VLOOKUP(E$1,test!$A$3:$F$32,2,FALSE))&lt;test!$K$16,$A16&lt;&gt;E$1,feasible_mat!E16=1),SUM(VLOOKUP($A16,test!$A$3:$F$32,2,FALSE),VLOOKUP(E$1,test!$A$3:$F$32,2,FALSE)),0)</f>
        <v>0</v>
      </c>
      <c r="F16">
        <f>IF(AND(SUM(VLOOKUP($A16,test!$A$3:$F$32,2,FALSE),VLOOKUP(F$1,test!$A$3:$F$32,2,FALSE))&lt;test!$K$16,$A16&lt;&gt;F$1,feasible_mat!F16=1),SUM(VLOOKUP($A16,test!$A$3:$F$32,2,FALSE),VLOOKUP(F$1,test!$A$3:$F$32,2,FALSE)),0)</f>
        <v>0</v>
      </c>
      <c r="G16">
        <f>IF(AND(SUM(VLOOKUP($A16,test!$A$3:$F$32,2,FALSE),VLOOKUP(G$1,test!$A$3:$F$32,2,FALSE))&lt;test!$K$16,$A16&lt;&gt;G$1,feasible_mat!G16=1),SUM(VLOOKUP($A16,test!$A$3:$F$32,2,FALSE),VLOOKUP(G$1,test!$A$3:$F$32,2,FALSE)),0)</f>
        <v>0</v>
      </c>
      <c r="H16">
        <f>IF(AND(SUM(VLOOKUP($A16,test!$A$3:$F$32,2,FALSE),VLOOKUP(H$1,test!$A$3:$F$32,2,FALSE))&lt;test!$K$16,$A16&lt;&gt;H$1,feasible_mat!H16=1),SUM(VLOOKUP($A16,test!$A$3:$F$32,2,FALSE),VLOOKUP(H$1,test!$A$3:$F$32,2,FALSE)),0)</f>
        <v>0</v>
      </c>
      <c r="I16">
        <f>IF(AND(SUM(VLOOKUP($A16,test!$A$3:$F$32,2,FALSE),VLOOKUP(I$1,test!$A$3:$F$32,2,FALSE))&lt;test!$K$16,$A16&lt;&gt;I$1,feasible_mat!I16=1),SUM(VLOOKUP($A16,test!$A$3:$F$32,2,FALSE),VLOOKUP(I$1,test!$A$3:$F$32,2,FALSE)),0)</f>
        <v>0</v>
      </c>
      <c r="J16">
        <f>IF(AND(SUM(VLOOKUP($A16,test!$A$3:$F$32,2,FALSE),VLOOKUP(J$1,test!$A$3:$F$32,2,FALSE))&lt;test!$K$16,$A16&lt;&gt;J$1,feasible_mat!J16=1),SUM(VLOOKUP($A16,test!$A$3:$F$32,2,FALSE),VLOOKUP(J$1,test!$A$3:$F$32,2,FALSE)),0)</f>
        <v>0</v>
      </c>
      <c r="K16">
        <f>IF(AND(SUM(VLOOKUP($A16,test!$A$3:$F$32,2,FALSE),VLOOKUP(K$1,test!$A$3:$F$32,2,FALSE))&lt;test!$K$16,$A16&lt;&gt;K$1,feasible_mat!K16=1),SUM(VLOOKUP($A16,test!$A$3:$F$32,2,FALSE),VLOOKUP(K$1,test!$A$3:$F$32,2,FALSE)),0)</f>
        <v>0</v>
      </c>
      <c r="L16">
        <f>IF(AND(SUM(VLOOKUP($A16,test!$A$3:$F$32,2,FALSE),VLOOKUP(L$1,test!$A$3:$F$32,2,FALSE))&lt;test!$K$16,$A16&lt;&gt;L$1,feasible_mat!L16=1),SUM(VLOOKUP($A16,test!$A$3:$F$32,2,FALSE),VLOOKUP(L$1,test!$A$3:$F$32,2,FALSE)),0)</f>
        <v>0</v>
      </c>
      <c r="M16">
        <f>IF(AND(SUM(VLOOKUP($A16,test!$A$3:$F$32,2,FALSE),VLOOKUP(M$1,test!$A$3:$F$32,2,FALSE))&lt;test!$K$16,$A16&lt;&gt;M$1,feasible_mat!M16=1),SUM(VLOOKUP($A16,test!$A$3:$F$32,2,FALSE),VLOOKUP(M$1,test!$A$3:$F$32,2,FALSE)),0)</f>
        <v>0</v>
      </c>
      <c r="N16">
        <f>IF(AND(SUM(VLOOKUP($A16,test!$A$3:$F$32,2,FALSE),VLOOKUP(N$1,test!$A$3:$F$32,2,FALSE))&lt;test!$K$16,$A16&lt;&gt;N$1,feasible_mat!N16=1),SUM(VLOOKUP($A16,test!$A$3:$F$32,2,FALSE),VLOOKUP(N$1,test!$A$3:$F$32,2,FALSE)),0)</f>
        <v>0</v>
      </c>
      <c r="O16">
        <f>IF(AND(SUM(VLOOKUP($A16,test!$A$3:$F$32,2,FALSE),VLOOKUP(O$1,test!$A$3:$F$32,2,FALSE))&lt;test!$K$16,$A16&lt;&gt;O$1,feasible_mat!O16=1),SUM(VLOOKUP($A16,test!$A$3:$F$32,2,FALSE),VLOOKUP(O$1,test!$A$3:$F$32,2,FALSE)),0)</f>
        <v>0</v>
      </c>
      <c r="P16">
        <f>IF(AND(SUM(VLOOKUP($A16,test!$A$3:$F$32,2,FALSE),VLOOKUP(P$1,test!$A$3:$F$32,2,FALSE))&lt;test!$K$16,$A16&lt;&gt;P$1,feasible_mat!P16=1),SUM(VLOOKUP($A16,test!$A$3:$F$32,2,FALSE),VLOOKUP(P$1,test!$A$3:$F$32,2,FALSE)),0)</f>
        <v>0</v>
      </c>
      <c r="Q16">
        <f>IF(AND(SUM(VLOOKUP($A16,test!$A$3:$F$32,2,FALSE),VLOOKUP(Q$1,test!$A$3:$F$32,2,FALSE))&lt;test!$K$16,$A16&lt;&gt;Q$1,feasible_mat!Q16=1),SUM(VLOOKUP($A16,test!$A$3:$F$32,2,FALSE),VLOOKUP(Q$1,test!$A$3:$F$32,2,FALSE)),0)</f>
        <v>0</v>
      </c>
      <c r="R16">
        <f>IF(AND(SUM(VLOOKUP($A16,test!$A$3:$F$32,2,FALSE),VLOOKUP(R$1,test!$A$3:$F$32,2,FALSE))&lt;test!$K$16,$A16&lt;&gt;R$1,feasible_mat!R16=1),SUM(VLOOKUP($A16,test!$A$3:$F$32,2,FALSE),VLOOKUP(R$1,test!$A$3:$F$32,2,FALSE)),0)</f>
        <v>0</v>
      </c>
      <c r="S16">
        <f>IF(AND(SUM(VLOOKUP($A16,test!$A$3:$F$32,2,FALSE),VLOOKUP(S$1,test!$A$3:$F$32,2,FALSE))&lt;test!$K$16,$A16&lt;&gt;S$1,feasible_mat!S16=1),SUM(VLOOKUP($A16,test!$A$3:$F$32,2,FALSE),VLOOKUP(S$1,test!$A$3:$F$32,2,FALSE)),0)</f>
        <v>0</v>
      </c>
      <c r="T16">
        <f>IF(AND(SUM(VLOOKUP($A16,test!$A$3:$F$32,2,FALSE),VLOOKUP(T$1,test!$A$3:$F$32,2,FALSE))&lt;test!$K$16,$A16&lt;&gt;T$1,feasible_mat!T16=1),SUM(VLOOKUP($A16,test!$A$3:$F$32,2,FALSE),VLOOKUP(T$1,test!$A$3:$F$32,2,FALSE)),0)</f>
        <v>0</v>
      </c>
      <c r="U16">
        <f>IF(AND(SUM(VLOOKUP($A16,test!$A$3:$F$32,2,FALSE),VLOOKUP(U$1,test!$A$3:$F$32,2,FALSE))&lt;test!$K$16,$A16&lt;&gt;U$1,feasible_mat!U16=1),SUM(VLOOKUP($A16,test!$A$3:$F$32,2,FALSE),VLOOKUP(U$1,test!$A$3:$F$32,2,FALSE)),0)</f>
        <v>0</v>
      </c>
      <c r="V16">
        <f>IF(AND(SUM(VLOOKUP($A16,test!$A$3:$F$32,2,FALSE),VLOOKUP(V$1,test!$A$3:$F$32,2,FALSE))&lt;test!$K$16,$A16&lt;&gt;V$1,feasible_mat!V16=1),SUM(VLOOKUP($A16,test!$A$3:$F$32,2,FALSE),VLOOKUP(V$1,test!$A$3:$F$32,2,FALSE)),0)</f>
        <v>0</v>
      </c>
      <c r="W16">
        <f>IF(AND(SUM(VLOOKUP($A16,test!$A$3:$F$32,2,FALSE),VLOOKUP(W$1,test!$A$3:$F$32,2,FALSE))&lt;test!$K$16,$A16&lt;&gt;W$1,feasible_mat!W16=1),SUM(VLOOKUP($A16,test!$A$3:$F$32,2,FALSE),VLOOKUP(W$1,test!$A$3:$F$32,2,FALSE)),0)</f>
        <v>0</v>
      </c>
      <c r="X16">
        <f>IF(AND(SUM(VLOOKUP($A16,test!$A$3:$F$32,2,FALSE),VLOOKUP(X$1,test!$A$3:$F$32,2,FALSE))&lt;test!$K$16,$A16&lt;&gt;X$1,feasible_mat!X16=1),SUM(VLOOKUP($A16,test!$A$3:$F$32,2,FALSE),VLOOKUP(X$1,test!$A$3:$F$32,2,FALSE)),0)</f>
        <v>0</v>
      </c>
      <c r="Y16">
        <f>IF(AND(SUM(VLOOKUP($A16,test!$A$3:$F$32,2,FALSE),VLOOKUP(Y$1,test!$A$3:$F$32,2,FALSE))&lt;test!$K$16,$A16&lt;&gt;Y$1,feasible_mat!Y16=1),SUM(VLOOKUP($A16,test!$A$3:$F$32,2,FALSE),VLOOKUP(Y$1,test!$A$3:$F$32,2,FALSE)),0)</f>
        <v>0</v>
      </c>
      <c r="Z16">
        <f>IF(AND(SUM(VLOOKUP($A16,test!$A$3:$F$32,2,FALSE),VLOOKUP(Z$1,test!$A$3:$F$32,2,FALSE))&lt;test!$K$16,$A16&lt;&gt;Z$1,feasible_mat!Z16=1),SUM(VLOOKUP($A16,test!$A$3:$F$32,2,FALSE),VLOOKUP(Z$1,test!$A$3:$F$32,2,FALSE)),0)</f>
        <v>0</v>
      </c>
      <c r="AA16">
        <f>IF(AND(SUM(VLOOKUP($A16,test!$A$3:$F$32,2,FALSE),VLOOKUP(AA$1,test!$A$3:$F$32,2,FALSE))&lt;test!$K$16,$A16&lt;&gt;AA$1,feasible_mat!AA16=1),SUM(VLOOKUP($A16,test!$A$3:$F$32,2,FALSE),VLOOKUP(AA$1,test!$A$3:$F$32,2,FALSE)),0)</f>
        <v>0</v>
      </c>
      <c r="AB16">
        <f>IF(AND(SUM(VLOOKUP($A16,test!$A$3:$F$32,2,FALSE),VLOOKUP(AB$1,test!$A$3:$F$32,2,FALSE))&lt;test!$K$16,$A16&lt;&gt;AB$1,feasible_mat!AB16=1),SUM(VLOOKUP($A16,test!$A$3:$F$32,2,FALSE),VLOOKUP(AB$1,test!$A$3:$F$32,2,FALSE)),0)</f>
        <v>0</v>
      </c>
      <c r="AC16">
        <f>IF(AND(SUM(VLOOKUP($A16,test!$A$3:$F$32,2,FALSE),VLOOKUP(AC$1,test!$A$3:$F$32,2,FALSE))&lt;test!$K$16,$A16&lt;&gt;AC$1,feasible_mat!AC16=1),SUM(VLOOKUP($A16,test!$A$3:$F$32,2,FALSE),VLOOKUP(AC$1,test!$A$3:$F$32,2,FALSE)),0)</f>
        <v>0</v>
      </c>
      <c r="AD16">
        <f>IF(AND(SUM(VLOOKUP($A16,test!$A$3:$F$32,2,FALSE),VLOOKUP(AD$1,test!$A$3:$F$32,2,FALSE))&lt;test!$K$16,$A16&lt;&gt;AD$1,feasible_mat!AD16=1),SUM(VLOOKUP($A16,test!$A$3:$F$32,2,FALSE),VLOOKUP(AD$1,test!$A$3:$F$32,2,FALSE)),0)</f>
        <v>0</v>
      </c>
      <c r="AE16">
        <f>IF(AND(SUM(VLOOKUP($A16,test!$A$3:$F$32,2,FALSE),VLOOKUP(AE$1,test!$A$3:$F$32,2,FALSE))&lt;test!$K$16,$A16&lt;&gt;AE$1,feasible_mat!AE16=1),SUM(VLOOKUP($A16,test!$A$3:$F$32,2,FALSE),VLOOKUP(AE$1,test!$A$3:$F$32,2,FALSE)),0)</f>
        <v>0</v>
      </c>
      <c r="AF16">
        <f>IF(AND(SUM(VLOOKUP($A16,test!$A$3:$F$32,2,FALSE),VLOOKUP(AF$1,test!$A$3:$F$32,2,FALSE))&lt;test!$K$16,$A16&lt;&gt;AF$1,feasible_mat!AF16=1),SUM(VLOOKUP($A16,test!$A$3:$F$32,2,FALSE),VLOOKUP(AF$1,test!$A$3:$F$32,2,FALSE)),0)</f>
        <v>0</v>
      </c>
      <c r="AG16">
        <v>60</v>
      </c>
      <c r="AH16">
        <v>75</v>
      </c>
      <c r="AI16">
        <v>70</v>
      </c>
    </row>
    <row r="17" spans="1:35" x14ac:dyDescent="0.25">
      <c r="A17" t="s">
        <v>26</v>
      </c>
      <c r="B17">
        <v>0</v>
      </c>
      <c r="C17">
        <f>IF(AND(SUM(VLOOKUP($A17,test!$A$3:$F$32,2,FALSE),VLOOKUP(C$1,test!$A$3:$F$32,2,FALSE))&lt;test!$K$16,$A17&lt;&gt;C$1,feasible_mat!C17=1),SUM(VLOOKUP($A17,test!$A$3:$F$32,2,FALSE),VLOOKUP(C$1,test!$A$3:$F$32,2,FALSE)),0)</f>
        <v>0</v>
      </c>
      <c r="D17">
        <f>IF(AND(SUM(VLOOKUP($A17,test!$A$3:$F$32,2,FALSE),VLOOKUP(D$1,test!$A$3:$F$32,2,FALSE))&lt;test!$K$16,$A17&lt;&gt;D$1,feasible_mat!D17=1),SUM(VLOOKUP($A17,test!$A$3:$F$32,2,FALSE),VLOOKUP(D$1,test!$A$3:$F$32,2,FALSE)),0)</f>
        <v>270</v>
      </c>
      <c r="E17">
        <f>IF(AND(SUM(VLOOKUP($A17,test!$A$3:$F$32,2,FALSE),VLOOKUP(E$1,test!$A$3:$F$32,2,FALSE))&lt;test!$K$16,$A17&lt;&gt;E$1,feasible_mat!E17=1),SUM(VLOOKUP($A17,test!$A$3:$F$32,2,FALSE),VLOOKUP(E$1,test!$A$3:$F$32,2,FALSE)),0)</f>
        <v>270</v>
      </c>
      <c r="F17">
        <f>IF(AND(SUM(VLOOKUP($A17,test!$A$3:$F$32,2,FALSE),VLOOKUP(F$1,test!$A$3:$F$32,2,FALSE))&lt;test!$K$16,$A17&lt;&gt;F$1,feasible_mat!F17=1),SUM(VLOOKUP($A17,test!$A$3:$F$32,2,FALSE),VLOOKUP(F$1,test!$A$3:$F$32,2,FALSE)),0)</f>
        <v>270</v>
      </c>
      <c r="G17">
        <f>IF(AND(SUM(VLOOKUP($A17,test!$A$3:$F$32,2,FALSE),VLOOKUP(G$1,test!$A$3:$F$32,2,FALSE))&lt;test!$K$16,$A17&lt;&gt;G$1,feasible_mat!G17=1),SUM(VLOOKUP($A17,test!$A$3:$F$32,2,FALSE),VLOOKUP(G$1,test!$A$3:$F$32,2,FALSE)),0)</f>
        <v>270</v>
      </c>
      <c r="H17">
        <f>IF(AND(SUM(VLOOKUP($A17,test!$A$3:$F$32,2,FALSE),VLOOKUP(H$1,test!$A$3:$F$32,2,FALSE))&lt;test!$K$16,$A17&lt;&gt;H$1,feasible_mat!H17=1),SUM(VLOOKUP($A17,test!$A$3:$F$32,2,FALSE),VLOOKUP(H$1,test!$A$3:$F$32,2,FALSE)),0)</f>
        <v>270</v>
      </c>
      <c r="I17">
        <f>IF(AND(SUM(VLOOKUP($A17,test!$A$3:$F$32,2,FALSE),VLOOKUP(I$1,test!$A$3:$F$32,2,FALSE))&lt;test!$K$16,$A17&lt;&gt;I$1,feasible_mat!I17=1),SUM(VLOOKUP($A17,test!$A$3:$F$32,2,FALSE),VLOOKUP(I$1,test!$A$3:$F$32,2,FALSE)),0)</f>
        <v>270</v>
      </c>
      <c r="J17">
        <f>IF(AND(SUM(VLOOKUP($A17,test!$A$3:$F$32,2,FALSE),VLOOKUP(J$1,test!$A$3:$F$32,2,FALSE))&lt;test!$K$16,$A17&lt;&gt;J$1,feasible_mat!J17=1),SUM(VLOOKUP($A17,test!$A$3:$F$32,2,FALSE),VLOOKUP(J$1,test!$A$3:$F$32,2,FALSE)),0)</f>
        <v>270</v>
      </c>
      <c r="K17">
        <f>IF(AND(SUM(VLOOKUP($A17,test!$A$3:$F$32,2,FALSE),VLOOKUP(K$1,test!$A$3:$F$32,2,FALSE))&lt;test!$K$16,$A17&lt;&gt;K$1,feasible_mat!K17=1),SUM(VLOOKUP($A17,test!$A$3:$F$32,2,FALSE),VLOOKUP(K$1,test!$A$3:$F$32,2,FALSE)),0)</f>
        <v>0</v>
      </c>
      <c r="L17">
        <f>IF(AND(SUM(VLOOKUP($A17,test!$A$3:$F$32,2,FALSE),VLOOKUP(L$1,test!$A$3:$F$32,2,FALSE))&lt;test!$K$16,$A17&lt;&gt;L$1,feasible_mat!L17=1),SUM(VLOOKUP($A17,test!$A$3:$F$32,2,FALSE),VLOOKUP(L$1,test!$A$3:$F$32,2,FALSE)),0)</f>
        <v>0</v>
      </c>
      <c r="M17">
        <f>IF(AND(SUM(VLOOKUP($A17,test!$A$3:$F$32,2,FALSE),VLOOKUP(M$1,test!$A$3:$F$32,2,FALSE))&lt;test!$K$16,$A17&lt;&gt;M$1,feasible_mat!M17=1),SUM(VLOOKUP($A17,test!$A$3:$F$32,2,FALSE),VLOOKUP(M$1,test!$A$3:$F$32,2,FALSE)),0)</f>
        <v>275</v>
      </c>
      <c r="N17">
        <f>IF(AND(SUM(VLOOKUP($A17,test!$A$3:$F$32,2,FALSE),VLOOKUP(N$1,test!$A$3:$F$32,2,FALSE))&lt;test!$K$16,$A17&lt;&gt;N$1,feasible_mat!N17=1),SUM(VLOOKUP($A17,test!$A$3:$F$32,2,FALSE),VLOOKUP(N$1,test!$A$3:$F$32,2,FALSE)),0)</f>
        <v>275</v>
      </c>
      <c r="O17">
        <f>IF(AND(SUM(VLOOKUP($A17,test!$A$3:$F$32,2,FALSE),VLOOKUP(O$1,test!$A$3:$F$32,2,FALSE))&lt;test!$K$16,$A17&lt;&gt;O$1,feasible_mat!O17=1),SUM(VLOOKUP($A17,test!$A$3:$F$32,2,FALSE),VLOOKUP(O$1,test!$A$3:$F$32,2,FALSE)),0)</f>
        <v>275</v>
      </c>
      <c r="P17">
        <f>IF(AND(SUM(VLOOKUP($A17,test!$A$3:$F$32,2,FALSE),VLOOKUP(P$1,test!$A$3:$F$32,2,FALSE))&lt;test!$K$16,$A17&lt;&gt;P$1,feasible_mat!P17=1),SUM(VLOOKUP($A17,test!$A$3:$F$32,2,FALSE),VLOOKUP(P$1,test!$A$3:$F$32,2,FALSE)),0)</f>
        <v>0</v>
      </c>
      <c r="Q17">
        <f>IF(AND(SUM(VLOOKUP($A17,test!$A$3:$F$32,2,FALSE),VLOOKUP(Q$1,test!$A$3:$F$32,2,FALSE))&lt;test!$K$16,$A17&lt;&gt;Q$1,feasible_mat!Q17=1),SUM(VLOOKUP($A17,test!$A$3:$F$32,2,FALSE),VLOOKUP(Q$1,test!$A$3:$F$32,2,FALSE)),0)</f>
        <v>0</v>
      </c>
      <c r="R17">
        <f>IF(AND(SUM(VLOOKUP($A17,test!$A$3:$F$32,2,FALSE),VLOOKUP(R$1,test!$A$3:$F$32,2,FALSE))&lt;test!$K$16,$A17&lt;&gt;R$1,feasible_mat!R17=1),SUM(VLOOKUP($A17,test!$A$3:$F$32,2,FALSE),VLOOKUP(R$1,test!$A$3:$F$32,2,FALSE)),0)</f>
        <v>0</v>
      </c>
      <c r="S17">
        <f>IF(AND(SUM(VLOOKUP($A17,test!$A$3:$F$32,2,FALSE),VLOOKUP(S$1,test!$A$3:$F$32,2,FALSE))&lt;test!$K$16,$A17&lt;&gt;S$1,feasible_mat!S17=1),SUM(VLOOKUP($A17,test!$A$3:$F$32,2,FALSE),VLOOKUP(S$1,test!$A$3:$F$32,2,FALSE)),0)</f>
        <v>0</v>
      </c>
      <c r="T17">
        <f>IF(AND(SUM(VLOOKUP($A17,test!$A$3:$F$32,2,FALSE),VLOOKUP(T$1,test!$A$3:$F$32,2,FALSE))&lt;test!$K$16,$A17&lt;&gt;T$1,feasible_mat!T17=1),SUM(VLOOKUP($A17,test!$A$3:$F$32,2,FALSE),VLOOKUP(T$1,test!$A$3:$F$32,2,FALSE)),0)</f>
        <v>0</v>
      </c>
      <c r="U17">
        <f>IF(AND(SUM(VLOOKUP($A17,test!$A$3:$F$32,2,FALSE),VLOOKUP(U$1,test!$A$3:$F$32,2,FALSE))&lt;test!$K$16,$A17&lt;&gt;U$1,feasible_mat!U17=1),SUM(VLOOKUP($A17,test!$A$3:$F$32,2,FALSE),VLOOKUP(U$1,test!$A$3:$F$32,2,FALSE)),0)</f>
        <v>0</v>
      </c>
      <c r="V17">
        <f>IF(AND(SUM(VLOOKUP($A17,test!$A$3:$F$32,2,FALSE),VLOOKUP(V$1,test!$A$3:$F$32,2,FALSE))&lt;test!$K$16,$A17&lt;&gt;V$1,feasible_mat!V17=1),SUM(VLOOKUP($A17,test!$A$3:$F$32,2,FALSE),VLOOKUP(V$1,test!$A$3:$F$32,2,FALSE)),0)</f>
        <v>0</v>
      </c>
      <c r="W17">
        <f>IF(AND(SUM(VLOOKUP($A17,test!$A$3:$F$32,2,FALSE),VLOOKUP(W$1,test!$A$3:$F$32,2,FALSE))&lt;test!$K$16,$A17&lt;&gt;W$1,feasible_mat!W17=1),SUM(VLOOKUP($A17,test!$A$3:$F$32,2,FALSE),VLOOKUP(W$1,test!$A$3:$F$32,2,FALSE)),0)</f>
        <v>0</v>
      </c>
      <c r="X17">
        <f>IF(AND(SUM(VLOOKUP($A17,test!$A$3:$F$32,2,FALSE),VLOOKUP(X$1,test!$A$3:$F$32,2,FALSE))&lt;test!$K$16,$A17&lt;&gt;X$1,feasible_mat!X17=1),SUM(VLOOKUP($A17,test!$A$3:$F$32,2,FALSE),VLOOKUP(X$1,test!$A$3:$F$32,2,FALSE)),0)</f>
        <v>0</v>
      </c>
      <c r="Y17">
        <f>IF(AND(SUM(VLOOKUP($A17,test!$A$3:$F$32,2,FALSE),VLOOKUP(Y$1,test!$A$3:$F$32,2,FALSE))&lt;test!$K$16,$A17&lt;&gt;Y$1,feasible_mat!Y17=1),SUM(VLOOKUP($A17,test!$A$3:$F$32,2,FALSE),VLOOKUP(Y$1,test!$A$3:$F$32,2,FALSE)),0)</f>
        <v>0</v>
      </c>
      <c r="Z17">
        <f>IF(AND(SUM(VLOOKUP($A17,test!$A$3:$F$32,2,FALSE),VLOOKUP(Z$1,test!$A$3:$F$32,2,FALSE))&lt;test!$K$16,$A17&lt;&gt;Z$1,feasible_mat!Z17=1),SUM(VLOOKUP($A17,test!$A$3:$F$32,2,FALSE),VLOOKUP(Z$1,test!$A$3:$F$32,2,FALSE)),0)</f>
        <v>0</v>
      </c>
      <c r="AA17">
        <f>IF(AND(SUM(VLOOKUP($A17,test!$A$3:$F$32,2,FALSE),VLOOKUP(AA$1,test!$A$3:$F$32,2,FALSE))&lt;test!$K$16,$A17&lt;&gt;AA$1,feasible_mat!AA17=1),SUM(VLOOKUP($A17,test!$A$3:$F$32,2,FALSE),VLOOKUP(AA$1,test!$A$3:$F$32,2,FALSE)),0)</f>
        <v>0</v>
      </c>
      <c r="AB17">
        <f>IF(AND(SUM(VLOOKUP($A17,test!$A$3:$F$32,2,FALSE),VLOOKUP(AB$1,test!$A$3:$F$32,2,FALSE))&lt;test!$K$16,$A17&lt;&gt;AB$1,feasible_mat!AB17=1),SUM(VLOOKUP($A17,test!$A$3:$F$32,2,FALSE),VLOOKUP(AB$1,test!$A$3:$F$32,2,FALSE)),0)</f>
        <v>0</v>
      </c>
      <c r="AC17">
        <f>IF(AND(SUM(VLOOKUP($A17,test!$A$3:$F$32,2,FALSE),VLOOKUP(AC$1,test!$A$3:$F$32,2,FALSE))&lt;test!$K$16,$A17&lt;&gt;AC$1,feasible_mat!AC17=1),SUM(VLOOKUP($A17,test!$A$3:$F$32,2,FALSE),VLOOKUP(AC$1,test!$A$3:$F$32,2,FALSE)),0)</f>
        <v>0</v>
      </c>
      <c r="AD17">
        <f>IF(AND(SUM(VLOOKUP($A17,test!$A$3:$F$32,2,FALSE),VLOOKUP(AD$1,test!$A$3:$F$32,2,FALSE))&lt;test!$K$16,$A17&lt;&gt;AD$1,feasible_mat!AD17=1),SUM(VLOOKUP($A17,test!$A$3:$F$32,2,FALSE),VLOOKUP(AD$1,test!$A$3:$F$32,2,FALSE)),0)</f>
        <v>0</v>
      </c>
      <c r="AE17">
        <f>IF(AND(SUM(VLOOKUP($A17,test!$A$3:$F$32,2,FALSE),VLOOKUP(AE$1,test!$A$3:$F$32,2,FALSE))&lt;test!$K$16,$A17&lt;&gt;AE$1,feasible_mat!AE17=1),SUM(VLOOKUP($A17,test!$A$3:$F$32,2,FALSE),VLOOKUP(AE$1,test!$A$3:$F$32,2,FALSE)),0)</f>
        <v>0</v>
      </c>
      <c r="AF17">
        <f>IF(AND(SUM(VLOOKUP($A17,test!$A$3:$F$32,2,FALSE),VLOOKUP(AF$1,test!$A$3:$F$32,2,FALSE))&lt;test!$K$16,$A17&lt;&gt;AF$1,feasible_mat!AF17=1),SUM(VLOOKUP($A17,test!$A$3:$F$32,2,FALSE),VLOOKUP(AF$1,test!$A$3:$F$32,2,FALSE)),0)</f>
        <v>0</v>
      </c>
      <c r="AG17">
        <v>60</v>
      </c>
      <c r="AH17">
        <v>75</v>
      </c>
      <c r="AI17">
        <v>70</v>
      </c>
    </row>
    <row r="18" spans="1:35" x14ac:dyDescent="0.25">
      <c r="A18" t="s">
        <v>27</v>
      </c>
      <c r="B18">
        <v>0</v>
      </c>
      <c r="C18">
        <f>IF(AND(SUM(VLOOKUP($A18,test!$A$3:$F$32,2,FALSE),VLOOKUP(C$1,test!$A$3:$F$32,2,FALSE))&lt;test!$K$16,$A18&lt;&gt;C$1,feasible_mat!C18=1),SUM(VLOOKUP($A18,test!$A$3:$F$32,2,FALSE),VLOOKUP(C$1,test!$A$3:$F$32,2,FALSE)),0)</f>
        <v>0</v>
      </c>
      <c r="D18">
        <f>IF(AND(SUM(VLOOKUP($A18,test!$A$3:$F$32,2,FALSE),VLOOKUP(D$1,test!$A$3:$F$32,2,FALSE))&lt;test!$K$16,$A18&lt;&gt;D$1,feasible_mat!D18=1),SUM(VLOOKUP($A18,test!$A$3:$F$32,2,FALSE),VLOOKUP(D$1,test!$A$3:$F$32,2,FALSE)),0)</f>
        <v>0</v>
      </c>
      <c r="E18">
        <f>IF(AND(SUM(VLOOKUP($A18,test!$A$3:$F$32,2,FALSE),VLOOKUP(E$1,test!$A$3:$F$32,2,FALSE))&lt;test!$K$16,$A18&lt;&gt;E$1,feasible_mat!E18=1),SUM(VLOOKUP($A18,test!$A$3:$F$32,2,FALSE),VLOOKUP(E$1,test!$A$3:$F$32,2,FALSE)),0)</f>
        <v>270</v>
      </c>
      <c r="F18">
        <f>IF(AND(SUM(VLOOKUP($A18,test!$A$3:$F$32,2,FALSE),VLOOKUP(F$1,test!$A$3:$F$32,2,FALSE))&lt;test!$K$16,$A18&lt;&gt;F$1,feasible_mat!F18=1),SUM(VLOOKUP($A18,test!$A$3:$F$32,2,FALSE),VLOOKUP(F$1,test!$A$3:$F$32,2,FALSE)),0)</f>
        <v>270</v>
      </c>
      <c r="G18">
        <f>IF(AND(SUM(VLOOKUP($A18,test!$A$3:$F$32,2,FALSE),VLOOKUP(G$1,test!$A$3:$F$32,2,FALSE))&lt;test!$K$16,$A18&lt;&gt;G$1,feasible_mat!G18=1),SUM(VLOOKUP($A18,test!$A$3:$F$32,2,FALSE),VLOOKUP(G$1,test!$A$3:$F$32,2,FALSE)),0)</f>
        <v>270</v>
      </c>
      <c r="H18">
        <f>IF(AND(SUM(VLOOKUP($A18,test!$A$3:$F$32,2,FALSE),VLOOKUP(H$1,test!$A$3:$F$32,2,FALSE))&lt;test!$K$16,$A18&lt;&gt;H$1,feasible_mat!H18=1),SUM(VLOOKUP($A18,test!$A$3:$F$32,2,FALSE),VLOOKUP(H$1,test!$A$3:$F$32,2,FALSE)),0)</f>
        <v>270</v>
      </c>
      <c r="I18">
        <f>IF(AND(SUM(VLOOKUP($A18,test!$A$3:$F$32,2,FALSE),VLOOKUP(I$1,test!$A$3:$F$32,2,FALSE))&lt;test!$K$16,$A18&lt;&gt;I$1,feasible_mat!I18=1),SUM(VLOOKUP($A18,test!$A$3:$F$32,2,FALSE),VLOOKUP(I$1,test!$A$3:$F$32,2,FALSE)),0)</f>
        <v>270</v>
      </c>
      <c r="J18">
        <f>IF(AND(SUM(VLOOKUP($A18,test!$A$3:$F$32,2,FALSE),VLOOKUP(J$1,test!$A$3:$F$32,2,FALSE))&lt;test!$K$16,$A18&lt;&gt;J$1,feasible_mat!J18=1),SUM(VLOOKUP($A18,test!$A$3:$F$32,2,FALSE),VLOOKUP(J$1,test!$A$3:$F$32,2,FALSE)),0)</f>
        <v>270</v>
      </c>
      <c r="K18">
        <f>IF(AND(SUM(VLOOKUP($A18,test!$A$3:$F$32,2,FALSE),VLOOKUP(K$1,test!$A$3:$F$32,2,FALSE))&lt;test!$K$16,$A18&lt;&gt;K$1,feasible_mat!K18=1),SUM(VLOOKUP($A18,test!$A$3:$F$32,2,FALSE),VLOOKUP(K$1,test!$A$3:$F$32,2,FALSE)),0)</f>
        <v>0</v>
      </c>
      <c r="L18">
        <f>IF(AND(SUM(VLOOKUP($A18,test!$A$3:$F$32,2,FALSE),VLOOKUP(L$1,test!$A$3:$F$32,2,FALSE))&lt;test!$K$16,$A18&lt;&gt;L$1,feasible_mat!L18=1),SUM(VLOOKUP($A18,test!$A$3:$F$32,2,FALSE),VLOOKUP(L$1,test!$A$3:$F$32,2,FALSE)),0)</f>
        <v>0</v>
      </c>
      <c r="M18">
        <f>IF(AND(SUM(VLOOKUP($A18,test!$A$3:$F$32,2,FALSE),VLOOKUP(M$1,test!$A$3:$F$32,2,FALSE))&lt;test!$K$16,$A18&lt;&gt;M$1,feasible_mat!M18=1),SUM(VLOOKUP($A18,test!$A$3:$F$32,2,FALSE),VLOOKUP(M$1,test!$A$3:$F$32,2,FALSE)),0)</f>
        <v>275</v>
      </c>
      <c r="N18">
        <f>IF(AND(SUM(VLOOKUP($A18,test!$A$3:$F$32,2,FALSE),VLOOKUP(N$1,test!$A$3:$F$32,2,FALSE))&lt;test!$K$16,$A18&lt;&gt;N$1,feasible_mat!N18=1),SUM(VLOOKUP($A18,test!$A$3:$F$32,2,FALSE),VLOOKUP(N$1,test!$A$3:$F$32,2,FALSE)),0)</f>
        <v>275</v>
      </c>
      <c r="O18">
        <f>IF(AND(SUM(VLOOKUP($A18,test!$A$3:$F$32,2,FALSE),VLOOKUP(O$1,test!$A$3:$F$32,2,FALSE))&lt;test!$K$16,$A18&lt;&gt;O$1,feasible_mat!O18=1),SUM(VLOOKUP($A18,test!$A$3:$F$32,2,FALSE),VLOOKUP(O$1,test!$A$3:$F$32,2,FALSE)),0)</f>
        <v>275</v>
      </c>
      <c r="P18">
        <f>IF(AND(SUM(VLOOKUP($A18,test!$A$3:$F$32,2,FALSE),VLOOKUP(P$1,test!$A$3:$F$32,2,FALSE))&lt;test!$K$16,$A18&lt;&gt;P$1,feasible_mat!P18=1),SUM(VLOOKUP($A18,test!$A$3:$F$32,2,FALSE),VLOOKUP(P$1,test!$A$3:$F$32,2,FALSE)),0)</f>
        <v>0</v>
      </c>
      <c r="Q18">
        <f>IF(AND(SUM(VLOOKUP($A18,test!$A$3:$F$32,2,FALSE),VLOOKUP(Q$1,test!$A$3:$F$32,2,FALSE))&lt;test!$K$16,$A18&lt;&gt;Q$1,feasible_mat!Q18=1),SUM(VLOOKUP($A18,test!$A$3:$F$32,2,FALSE),VLOOKUP(Q$1,test!$A$3:$F$32,2,FALSE)),0)</f>
        <v>0</v>
      </c>
      <c r="R18">
        <f>IF(AND(SUM(VLOOKUP($A18,test!$A$3:$F$32,2,FALSE),VLOOKUP(R$1,test!$A$3:$F$32,2,FALSE))&lt;test!$K$16,$A18&lt;&gt;R$1,feasible_mat!R18=1),SUM(VLOOKUP($A18,test!$A$3:$F$32,2,FALSE),VLOOKUP(R$1,test!$A$3:$F$32,2,FALSE)),0)</f>
        <v>0</v>
      </c>
      <c r="S18">
        <f>IF(AND(SUM(VLOOKUP($A18,test!$A$3:$F$32,2,FALSE),VLOOKUP(S$1,test!$A$3:$F$32,2,FALSE))&lt;test!$K$16,$A18&lt;&gt;S$1,feasible_mat!S18=1),SUM(VLOOKUP($A18,test!$A$3:$F$32,2,FALSE),VLOOKUP(S$1,test!$A$3:$F$32,2,FALSE)),0)</f>
        <v>0</v>
      </c>
      <c r="T18">
        <f>IF(AND(SUM(VLOOKUP($A18,test!$A$3:$F$32,2,FALSE),VLOOKUP(T$1,test!$A$3:$F$32,2,FALSE))&lt;test!$K$16,$A18&lt;&gt;T$1,feasible_mat!T18=1),SUM(VLOOKUP($A18,test!$A$3:$F$32,2,FALSE),VLOOKUP(T$1,test!$A$3:$F$32,2,FALSE)),0)</f>
        <v>0</v>
      </c>
      <c r="U18">
        <f>IF(AND(SUM(VLOOKUP($A18,test!$A$3:$F$32,2,FALSE),VLOOKUP(U$1,test!$A$3:$F$32,2,FALSE))&lt;test!$K$16,$A18&lt;&gt;U$1,feasible_mat!U18=1),SUM(VLOOKUP($A18,test!$A$3:$F$32,2,FALSE),VLOOKUP(U$1,test!$A$3:$F$32,2,FALSE)),0)</f>
        <v>0</v>
      </c>
      <c r="V18">
        <f>IF(AND(SUM(VLOOKUP($A18,test!$A$3:$F$32,2,FALSE),VLOOKUP(V$1,test!$A$3:$F$32,2,FALSE))&lt;test!$K$16,$A18&lt;&gt;V$1,feasible_mat!V18=1),SUM(VLOOKUP($A18,test!$A$3:$F$32,2,FALSE),VLOOKUP(V$1,test!$A$3:$F$32,2,FALSE)),0)</f>
        <v>0</v>
      </c>
      <c r="W18">
        <f>IF(AND(SUM(VLOOKUP($A18,test!$A$3:$F$32,2,FALSE),VLOOKUP(W$1,test!$A$3:$F$32,2,FALSE))&lt;test!$K$16,$A18&lt;&gt;W$1,feasible_mat!W18=1),SUM(VLOOKUP($A18,test!$A$3:$F$32,2,FALSE),VLOOKUP(W$1,test!$A$3:$F$32,2,FALSE)),0)</f>
        <v>0</v>
      </c>
      <c r="X18">
        <f>IF(AND(SUM(VLOOKUP($A18,test!$A$3:$F$32,2,FALSE),VLOOKUP(X$1,test!$A$3:$F$32,2,FALSE))&lt;test!$K$16,$A18&lt;&gt;X$1,feasible_mat!X18=1),SUM(VLOOKUP($A18,test!$A$3:$F$32,2,FALSE),VLOOKUP(X$1,test!$A$3:$F$32,2,FALSE)),0)</f>
        <v>0</v>
      </c>
      <c r="Y18">
        <f>IF(AND(SUM(VLOOKUP($A18,test!$A$3:$F$32,2,FALSE),VLOOKUP(Y$1,test!$A$3:$F$32,2,FALSE))&lt;test!$K$16,$A18&lt;&gt;Y$1,feasible_mat!Y18=1),SUM(VLOOKUP($A18,test!$A$3:$F$32,2,FALSE),VLOOKUP(Y$1,test!$A$3:$F$32,2,FALSE)),0)</f>
        <v>0</v>
      </c>
      <c r="Z18">
        <f>IF(AND(SUM(VLOOKUP($A18,test!$A$3:$F$32,2,FALSE),VLOOKUP(Z$1,test!$A$3:$F$32,2,FALSE))&lt;test!$K$16,$A18&lt;&gt;Z$1,feasible_mat!Z18=1),SUM(VLOOKUP($A18,test!$A$3:$F$32,2,FALSE),VLOOKUP(Z$1,test!$A$3:$F$32,2,FALSE)),0)</f>
        <v>0</v>
      </c>
      <c r="AA18">
        <f>IF(AND(SUM(VLOOKUP($A18,test!$A$3:$F$32,2,FALSE),VLOOKUP(AA$1,test!$A$3:$F$32,2,FALSE))&lt;test!$K$16,$A18&lt;&gt;AA$1,feasible_mat!AA18=1),SUM(VLOOKUP($A18,test!$A$3:$F$32,2,FALSE),VLOOKUP(AA$1,test!$A$3:$F$32,2,FALSE)),0)</f>
        <v>0</v>
      </c>
      <c r="AB18">
        <f>IF(AND(SUM(VLOOKUP($A18,test!$A$3:$F$32,2,FALSE),VLOOKUP(AB$1,test!$A$3:$F$32,2,FALSE))&lt;test!$K$16,$A18&lt;&gt;AB$1,feasible_mat!AB18=1),SUM(VLOOKUP($A18,test!$A$3:$F$32,2,FALSE),VLOOKUP(AB$1,test!$A$3:$F$32,2,FALSE)),0)</f>
        <v>0</v>
      </c>
      <c r="AC18">
        <f>IF(AND(SUM(VLOOKUP($A18,test!$A$3:$F$32,2,FALSE),VLOOKUP(AC$1,test!$A$3:$F$32,2,FALSE))&lt;test!$K$16,$A18&lt;&gt;AC$1,feasible_mat!AC18=1),SUM(VLOOKUP($A18,test!$A$3:$F$32,2,FALSE),VLOOKUP(AC$1,test!$A$3:$F$32,2,FALSE)),0)</f>
        <v>0</v>
      </c>
      <c r="AD18">
        <f>IF(AND(SUM(VLOOKUP($A18,test!$A$3:$F$32,2,FALSE),VLOOKUP(AD$1,test!$A$3:$F$32,2,FALSE))&lt;test!$K$16,$A18&lt;&gt;AD$1,feasible_mat!AD18=1),SUM(VLOOKUP($A18,test!$A$3:$F$32,2,FALSE),VLOOKUP(AD$1,test!$A$3:$F$32,2,FALSE)),0)</f>
        <v>0</v>
      </c>
      <c r="AE18">
        <f>IF(AND(SUM(VLOOKUP($A18,test!$A$3:$F$32,2,FALSE),VLOOKUP(AE$1,test!$A$3:$F$32,2,FALSE))&lt;test!$K$16,$A18&lt;&gt;AE$1,feasible_mat!AE18=1),SUM(VLOOKUP($A18,test!$A$3:$F$32,2,FALSE),VLOOKUP(AE$1,test!$A$3:$F$32,2,FALSE)),0)</f>
        <v>0</v>
      </c>
      <c r="AF18">
        <f>IF(AND(SUM(VLOOKUP($A18,test!$A$3:$F$32,2,FALSE),VLOOKUP(AF$1,test!$A$3:$F$32,2,FALSE))&lt;test!$K$16,$A18&lt;&gt;AF$1,feasible_mat!AF18=1),SUM(VLOOKUP($A18,test!$A$3:$F$32,2,FALSE),VLOOKUP(AF$1,test!$A$3:$F$32,2,FALSE)),0)</f>
        <v>0</v>
      </c>
      <c r="AG18">
        <v>60</v>
      </c>
      <c r="AH18">
        <v>75</v>
      </c>
      <c r="AI18">
        <v>70</v>
      </c>
    </row>
    <row r="19" spans="1:35" x14ac:dyDescent="0.25">
      <c r="A19" t="s">
        <v>28</v>
      </c>
      <c r="B19">
        <v>0</v>
      </c>
      <c r="C19">
        <f>IF(AND(SUM(VLOOKUP($A19,test!$A$3:$F$32,2,FALSE),VLOOKUP(C$1,test!$A$3:$F$32,2,FALSE))&lt;test!$K$16,$A19&lt;&gt;C$1,feasible_mat!C19=1),SUM(VLOOKUP($A19,test!$A$3:$F$32,2,FALSE),VLOOKUP(C$1,test!$A$3:$F$32,2,FALSE)),0)</f>
        <v>0</v>
      </c>
      <c r="D19">
        <f>IF(AND(SUM(VLOOKUP($A19,test!$A$3:$F$32,2,FALSE),VLOOKUP(D$1,test!$A$3:$F$32,2,FALSE))&lt;test!$K$16,$A19&lt;&gt;D$1,feasible_mat!D19=1),SUM(VLOOKUP($A19,test!$A$3:$F$32,2,FALSE),VLOOKUP(D$1,test!$A$3:$F$32,2,FALSE)),0)</f>
        <v>0</v>
      </c>
      <c r="E19">
        <f>IF(AND(SUM(VLOOKUP($A19,test!$A$3:$F$32,2,FALSE),VLOOKUP(E$1,test!$A$3:$F$32,2,FALSE))&lt;test!$K$16,$A19&lt;&gt;E$1,feasible_mat!E19=1),SUM(VLOOKUP($A19,test!$A$3:$F$32,2,FALSE),VLOOKUP(E$1,test!$A$3:$F$32,2,FALSE)),0)</f>
        <v>0</v>
      </c>
      <c r="F19">
        <f>IF(AND(SUM(VLOOKUP($A19,test!$A$3:$F$32,2,FALSE),VLOOKUP(F$1,test!$A$3:$F$32,2,FALSE))&lt;test!$K$16,$A19&lt;&gt;F$1,feasible_mat!F19=1),SUM(VLOOKUP($A19,test!$A$3:$F$32,2,FALSE),VLOOKUP(F$1,test!$A$3:$F$32,2,FALSE)),0)</f>
        <v>270</v>
      </c>
      <c r="G19">
        <f>IF(AND(SUM(VLOOKUP($A19,test!$A$3:$F$32,2,FALSE),VLOOKUP(G$1,test!$A$3:$F$32,2,FALSE))&lt;test!$K$16,$A19&lt;&gt;G$1,feasible_mat!G19=1),SUM(VLOOKUP($A19,test!$A$3:$F$32,2,FALSE),VLOOKUP(G$1,test!$A$3:$F$32,2,FALSE)),0)</f>
        <v>270</v>
      </c>
      <c r="H19">
        <f>IF(AND(SUM(VLOOKUP($A19,test!$A$3:$F$32,2,FALSE),VLOOKUP(H$1,test!$A$3:$F$32,2,FALSE))&lt;test!$K$16,$A19&lt;&gt;H$1,feasible_mat!H19=1),SUM(VLOOKUP($A19,test!$A$3:$F$32,2,FALSE),VLOOKUP(H$1,test!$A$3:$F$32,2,FALSE)),0)</f>
        <v>270</v>
      </c>
      <c r="I19">
        <f>IF(AND(SUM(VLOOKUP($A19,test!$A$3:$F$32,2,FALSE),VLOOKUP(I$1,test!$A$3:$F$32,2,FALSE))&lt;test!$K$16,$A19&lt;&gt;I$1,feasible_mat!I19=1),SUM(VLOOKUP($A19,test!$A$3:$F$32,2,FALSE),VLOOKUP(I$1,test!$A$3:$F$32,2,FALSE)),0)</f>
        <v>270</v>
      </c>
      <c r="J19">
        <f>IF(AND(SUM(VLOOKUP($A19,test!$A$3:$F$32,2,FALSE),VLOOKUP(J$1,test!$A$3:$F$32,2,FALSE))&lt;test!$K$16,$A19&lt;&gt;J$1,feasible_mat!J19=1),SUM(VLOOKUP($A19,test!$A$3:$F$32,2,FALSE),VLOOKUP(J$1,test!$A$3:$F$32,2,FALSE)),0)</f>
        <v>270</v>
      </c>
      <c r="K19">
        <f>IF(AND(SUM(VLOOKUP($A19,test!$A$3:$F$32,2,FALSE),VLOOKUP(K$1,test!$A$3:$F$32,2,FALSE))&lt;test!$K$16,$A19&lt;&gt;K$1,feasible_mat!K19=1),SUM(VLOOKUP($A19,test!$A$3:$F$32,2,FALSE),VLOOKUP(K$1,test!$A$3:$F$32,2,FALSE)),0)</f>
        <v>0</v>
      </c>
      <c r="L19">
        <f>IF(AND(SUM(VLOOKUP($A19,test!$A$3:$F$32,2,FALSE),VLOOKUP(L$1,test!$A$3:$F$32,2,FALSE))&lt;test!$K$16,$A19&lt;&gt;L$1,feasible_mat!L19=1),SUM(VLOOKUP($A19,test!$A$3:$F$32,2,FALSE),VLOOKUP(L$1,test!$A$3:$F$32,2,FALSE)),0)</f>
        <v>0</v>
      </c>
      <c r="M19">
        <f>IF(AND(SUM(VLOOKUP($A19,test!$A$3:$F$32,2,FALSE),VLOOKUP(M$1,test!$A$3:$F$32,2,FALSE))&lt;test!$K$16,$A19&lt;&gt;M$1,feasible_mat!M19=1),SUM(VLOOKUP($A19,test!$A$3:$F$32,2,FALSE),VLOOKUP(M$1,test!$A$3:$F$32,2,FALSE)),0)</f>
        <v>0</v>
      </c>
      <c r="N19">
        <f>IF(AND(SUM(VLOOKUP($A19,test!$A$3:$F$32,2,FALSE),VLOOKUP(N$1,test!$A$3:$F$32,2,FALSE))&lt;test!$K$16,$A19&lt;&gt;N$1,feasible_mat!N19=1),SUM(VLOOKUP($A19,test!$A$3:$F$32,2,FALSE),VLOOKUP(N$1,test!$A$3:$F$32,2,FALSE)),0)</f>
        <v>275</v>
      </c>
      <c r="O19">
        <f>IF(AND(SUM(VLOOKUP($A19,test!$A$3:$F$32,2,FALSE),VLOOKUP(O$1,test!$A$3:$F$32,2,FALSE))&lt;test!$K$16,$A19&lt;&gt;O$1,feasible_mat!O19=1),SUM(VLOOKUP($A19,test!$A$3:$F$32,2,FALSE),VLOOKUP(O$1,test!$A$3:$F$32,2,FALSE)),0)</f>
        <v>275</v>
      </c>
      <c r="P19">
        <f>IF(AND(SUM(VLOOKUP($A19,test!$A$3:$F$32,2,FALSE),VLOOKUP(P$1,test!$A$3:$F$32,2,FALSE))&lt;test!$K$16,$A19&lt;&gt;P$1,feasible_mat!P19=1),SUM(VLOOKUP($A19,test!$A$3:$F$32,2,FALSE),VLOOKUP(P$1,test!$A$3:$F$32,2,FALSE)),0)</f>
        <v>0</v>
      </c>
      <c r="Q19">
        <f>IF(AND(SUM(VLOOKUP($A19,test!$A$3:$F$32,2,FALSE),VLOOKUP(Q$1,test!$A$3:$F$32,2,FALSE))&lt;test!$K$16,$A19&lt;&gt;Q$1,feasible_mat!Q19=1),SUM(VLOOKUP($A19,test!$A$3:$F$32,2,FALSE),VLOOKUP(Q$1,test!$A$3:$F$32,2,FALSE)),0)</f>
        <v>0</v>
      </c>
      <c r="R19">
        <f>IF(AND(SUM(VLOOKUP($A19,test!$A$3:$F$32,2,FALSE),VLOOKUP(R$1,test!$A$3:$F$32,2,FALSE))&lt;test!$K$16,$A19&lt;&gt;R$1,feasible_mat!R19=1),SUM(VLOOKUP($A19,test!$A$3:$F$32,2,FALSE),VLOOKUP(R$1,test!$A$3:$F$32,2,FALSE)),0)</f>
        <v>0</v>
      </c>
      <c r="S19">
        <f>IF(AND(SUM(VLOOKUP($A19,test!$A$3:$F$32,2,FALSE),VLOOKUP(S$1,test!$A$3:$F$32,2,FALSE))&lt;test!$K$16,$A19&lt;&gt;S$1,feasible_mat!S19=1),SUM(VLOOKUP($A19,test!$A$3:$F$32,2,FALSE),VLOOKUP(S$1,test!$A$3:$F$32,2,FALSE)),0)</f>
        <v>0</v>
      </c>
      <c r="T19">
        <f>IF(AND(SUM(VLOOKUP($A19,test!$A$3:$F$32,2,FALSE),VLOOKUP(T$1,test!$A$3:$F$32,2,FALSE))&lt;test!$K$16,$A19&lt;&gt;T$1,feasible_mat!T19=1),SUM(VLOOKUP($A19,test!$A$3:$F$32,2,FALSE),VLOOKUP(T$1,test!$A$3:$F$32,2,FALSE)),0)</f>
        <v>0</v>
      </c>
      <c r="U19">
        <f>IF(AND(SUM(VLOOKUP($A19,test!$A$3:$F$32,2,FALSE),VLOOKUP(U$1,test!$A$3:$F$32,2,FALSE))&lt;test!$K$16,$A19&lt;&gt;U$1,feasible_mat!U19=1),SUM(VLOOKUP($A19,test!$A$3:$F$32,2,FALSE),VLOOKUP(U$1,test!$A$3:$F$32,2,FALSE)),0)</f>
        <v>0</v>
      </c>
      <c r="V19">
        <f>IF(AND(SUM(VLOOKUP($A19,test!$A$3:$F$32,2,FALSE),VLOOKUP(V$1,test!$A$3:$F$32,2,FALSE))&lt;test!$K$16,$A19&lt;&gt;V$1,feasible_mat!V19=1),SUM(VLOOKUP($A19,test!$A$3:$F$32,2,FALSE),VLOOKUP(V$1,test!$A$3:$F$32,2,FALSE)),0)</f>
        <v>0</v>
      </c>
      <c r="W19">
        <f>IF(AND(SUM(VLOOKUP($A19,test!$A$3:$F$32,2,FALSE),VLOOKUP(W$1,test!$A$3:$F$32,2,FALSE))&lt;test!$K$16,$A19&lt;&gt;W$1,feasible_mat!W19=1),SUM(VLOOKUP($A19,test!$A$3:$F$32,2,FALSE),VLOOKUP(W$1,test!$A$3:$F$32,2,FALSE)),0)</f>
        <v>0</v>
      </c>
      <c r="X19">
        <f>IF(AND(SUM(VLOOKUP($A19,test!$A$3:$F$32,2,FALSE),VLOOKUP(X$1,test!$A$3:$F$32,2,FALSE))&lt;test!$K$16,$A19&lt;&gt;X$1,feasible_mat!X19=1),SUM(VLOOKUP($A19,test!$A$3:$F$32,2,FALSE),VLOOKUP(X$1,test!$A$3:$F$32,2,FALSE)),0)</f>
        <v>0</v>
      </c>
      <c r="Y19">
        <f>IF(AND(SUM(VLOOKUP($A19,test!$A$3:$F$32,2,FALSE),VLOOKUP(Y$1,test!$A$3:$F$32,2,FALSE))&lt;test!$K$16,$A19&lt;&gt;Y$1,feasible_mat!Y19=1),SUM(VLOOKUP($A19,test!$A$3:$F$32,2,FALSE),VLOOKUP(Y$1,test!$A$3:$F$32,2,FALSE)),0)</f>
        <v>0</v>
      </c>
      <c r="Z19">
        <f>IF(AND(SUM(VLOOKUP($A19,test!$A$3:$F$32,2,FALSE),VLOOKUP(Z$1,test!$A$3:$F$32,2,FALSE))&lt;test!$K$16,$A19&lt;&gt;Z$1,feasible_mat!Z19=1),SUM(VLOOKUP($A19,test!$A$3:$F$32,2,FALSE),VLOOKUP(Z$1,test!$A$3:$F$32,2,FALSE)),0)</f>
        <v>0</v>
      </c>
      <c r="AA19">
        <f>IF(AND(SUM(VLOOKUP($A19,test!$A$3:$F$32,2,FALSE),VLOOKUP(AA$1,test!$A$3:$F$32,2,FALSE))&lt;test!$K$16,$A19&lt;&gt;AA$1,feasible_mat!AA19=1),SUM(VLOOKUP($A19,test!$A$3:$F$32,2,FALSE),VLOOKUP(AA$1,test!$A$3:$F$32,2,FALSE)),0)</f>
        <v>0</v>
      </c>
      <c r="AB19">
        <f>IF(AND(SUM(VLOOKUP($A19,test!$A$3:$F$32,2,FALSE),VLOOKUP(AB$1,test!$A$3:$F$32,2,FALSE))&lt;test!$K$16,$A19&lt;&gt;AB$1,feasible_mat!AB19=1),SUM(VLOOKUP($A19,test!$A$3:$F$32,2,FALSE),VLOOKUP(AB$1,test!$A$3:$F$32,2,FALSE)),0)</f>
        <v>0</v>
      </c>
      <c r="AC19">
        <f>IF(AND(SUM(VLOOKUP($A19,test!$A$3:$F$32,2,FALSE),VLOOKUP(AC$1,test!$A$3:$F$32,2,FALSE))&lt;test!$K$16,$A19&lt;&gt;AC$1,feasible_mat!AC19=1),SUM(VLOOKUP($A19,test!$A$3:$F$32,2,FALSE),VLOOKUP(AC$1,test!$A$3:$F$32,2,FALSE)),0)</f>
        <v>0</v>
      </c>
      <c r="AD19">
        <f>IF(AND(SUM(VLOOKUP($A19,test!$A$3:$F$32,2,FALSE),VLOOKUP(AD$1,test!$A$3:$F$32,2,FALSE))&lt;test!$K$16,$A19&lt;&gt;AD$1,feasible_mat!AD19=1),SUM(VLOOKUP($A19,test!$A$3:$F$32,2,FALSE),VLOOKUP(AD$1,test!$A$3:$F$32,2,FALSE)),0)</f>
        <v>0</v>
      </c>
      <c r="AE19">
        <f>IF(AND(SUM(VLOOKUP($A19,test!$A$3:$F$32,2,FALSE),VLOOKUP(AE$1,test!$A$3:$F$32,2,FALSE))&lt;test!$K$16,$A19&lt;&gt;AE$1,feasible_mat!AE19=1),SUM(VLOOKUP($A19,test!$A$3:$F$32,2,FALSE),VLOOKUP(AE$1,test!$A$3:$F$32,2,FALSE)),0)</f>
        <v>0</v>
      </c>
      <c r="AF19">
        <f>IF(AND(SUM(VLOOKUP($A19,test!$A$3:$F$32,2,FALSE),VLOOKUP(AF$1,test!$A$3:$F$32,2,FALSE))&lt;test!$K$16,$A19&lt;&gt;AF$1,feasible_mat!AF19=1),SUM(VLOOKUP($A19,test!$A$3:$F$32,2,FALSE),VLOOKUP(AF$1,test!$A$3:$F$32,2,FALSE)),0)</f>
        <v>0</v>
      </c>
      <c r="AG19">
        <v>60</v>
      </c>
      <c r="AH19">
        <v>75</v>
      </c>
      <c r="AI19">
        <v>70</v>
      </c>
    </row>
    <row r="20" spans="1:35" x14ac:dyDescent="0.25">
      <c r="A20" t="s">
        <v>29</v>
      </c>
      <c r="B20">
        <v>0</v>
      </c>
      <c r="C20">
        <f>IF(AND(SUM(VLOOKUP($A20,test!$A$3:$F$32,2,FALSE),VLOOKUP(C$1,test!$A$3:$F$32,2,FALSE))&lt;test!$K$16,$A20&lt;&gt;C$1,feasible_mat!C20=1),SUM(VLOOKUP($A20,test!$A$3:$F$32,2,FALSE),VLOOKUP(C$1,test!$A$3:$F$32,2,FALSE)),0)</f>
        <v>0</v>
      </c>
      <c r="D20">
        <f>IF(AND(SUM(VLOOKUP($A20,test!$A$3:$F$32,2,FALSE),VLOOKUP(D$1,test!$A$3:$F$32,2,FALSE))&lt;test!$K$16,$A20&lt;&gt;D$1,feasible_mat!D20=1),SUM(VLOOKUP($A20,test!$A$3:$F$32,2,FALSE),VLOOKUP(D$1,test!$A$3:$F$32,2,FALSE)),0)</f>
        <v>0</v>
      </c>
      <c r="E20">
        <f>IF(AND(SUM(VLOOKUP($A20,test!$A$3:$F$32,2,FALSE),VLOOKUP(E$1,test!$A$3:$F$32,2,FALSE))&lt;test!$K$16,$A20&lt;&gt;E$1,feasible_mat!E20=1),SUM(VLOOKUP($A20,test!$A$3:$F$32,2,FALSE),VLOOKUP(E$1,test!$A$3:$F$32,2,FALSE)),0)</f>
        <v>0</v>
      </c>
      <c r="F20">
        <f>IF(AND(SUM(VLOOKUP($A20,test!$A$3:$F$32,2,FALSE),VLOOKUP(F$1,test!$A$3:$F$32,2,FALSE))&lt;test!$K$16,$A20&lt;&gt;F$1,feasible_mat!F20=1),SUM(VLOOKUP($A20,test!$A$3:$F$32,2,FALSE),VLOOKUP(F$1,test!$A$3:$F$32,2,FALSE)),0)</f>
        <v>0</v>
      </c>
      <c r="G20">
        <f>IF(AND(SUM(VLOOKUP($A20,test!$A$3:$F$32,2,FALSE),VLOOKUP(G$1,test!$A$3:$F$32,2,FALSE))&lt;test!$K$16,$A20&lt;&gt;G$1,feasible_mat!G20=1),SUM(VLOOKUP($A20,test!$A$3:$F$32,2,FALSE),VLOOKUP(G$1,test!$A$3:$F$32,2,FALSE)),0)</f>
        <v>270</v>
      </c>
      <c r="H20">
        <f>IF(AND(SUM(VLOOKUP($A20,test!$A$3:$F$32,2,FALSE),VLOOKUP(H$1,test!$A$3:$F$32,2,FALSE))&lt;test!$K$16,$A20&lt;&gt;H$1,feasible_mat!H20=1),SUM(VLOOKUP($A20,test!$A$3:$F$32,2,FALSE),VLOOKUP(H$1,test!$A$3:$F$32,2,FALSE)),0)</f>
        <v>270</v>
      </c>
      <c r="I20">
        <f>IF(AND(SUM(VLOOKUP($A20,test!$A$3:$F$32,2,FALSE),VLOOKUP(I$1,test!$A$3:$F$32,2,FALSE))&lt;test!$K$16,$A20&lt;&gt;I$1,feasible_mat!I20=1),SUM(VLOOKUP($A20,test!$A$3:$F$32,2,FALSE),VLOOKUP(I$1,test!$A$3:$F$32,2,FALSE)),0)</f>
        <v>270</v>
      </c>
      <c r="J20">
        <f>IF(AND(SUM(VLOOKUP($A20,test!$A$3:$F$32,2,FALSE),VLOOKUP(J$1,test!$A$3:$F$32,2,FALSE))&lt;test!$K$16,$A20&lt;&gt;J$1,feasible_mat!J20=1),SUM(VLOOKUP($A20,test!$A$3:$F$32,2,FALSE),VLOOKUP(J$1,test!$A$3:$F$32,2,FALSE)),0)</f>
        <v>270</v>
      </c>
      <c r="K20">
        <f>IF(AND(SUM(VLOOKUP($A20,test!$A$3:$F$32,2,FALSE),VLOOKUP(K$1,test!$A$3:$F$32,2,FALSE))&lt;test!$K$16,$A20&lt;&gt;K$1,feasible_mat!K20=1),SUM(VLOOKUP($A20,test!$A$3:$F$32,2,FALSE),VLOOKUP(K$1,test!$A$3:$F$32,2,FALSE)),0)</f>
        <v>0</v>
      </c>
      <c r="L20">
        <f>IF(AND(SUM(VLOOKUP($A20,test!$A$3:$F$32,2,FALSE),VLOOKUP(L$1,test!$A$3:$F$32,2,FALSE))&lt;test!$K$16,$A20&lt;&gt;L$1,feasible_mat!L20=1),SUM(VLOOKUP($A20,test!$A$3:$F$32,2,FALSE),VLOOKUP(L$1,test!$A$3:$F$32,2,FALSE)),0)</f>
        <v>0</v>
      </c>
      <c r="M20">
        <f>IF(AND(SUM(VLOOKUP($A20,test!$A$3:$F$32,2,FALSE),VLOOKUP(M$1,test!$A$3:$F$32,2,FALSE))&lt;test!$K$16,$A20&lt;&gt;M$1,feasible_mat!M20=1),SUM(VLOOKUP($A20,test!$A$3:$F$32,2,FALSE),VLOOKUP(M$1,test!$A$3:$F$32,2,FALSE)),0)</f>
        <v>0</v>
      </c>
      <c r="N20">
        <f>IF(AND(SUM(VLOOKUP($A20,test!$A$3:$F$32,2,FALSE),VLOOKUP(N$1,test!$A$3:$F$32,2,FALSE))&lt;test!$K$16,$A20&lt;&gt;N$1,feasible_mat!N20=1),SUM(VLOOKUP($A20,test!$A$3:$F$32,2,FALSE),VLOOKUP(N$1,test!$A$3:$F$32,2,FALSE)),0)</f>
        <v>275</v>
      </c>
      <c r="O20">
        <f>IF(AND(SUM(VLOOKUP($A20,test!$A$3:$F$32,2,FALSE),VLOOKUP(O$1,test!$A$3:$F$32,2,FALSE))&lt;test!$K$16,$A20&lt;&gt;O$1,feasible_mat!O20=1),SUM(VLOOKUP($A20,test!$A$3:$F$32,2,FALSE),VLOOKUP(O$1,test!$A$3:$F$32,2,FALSE)),0)</f>
        <v>275</v>
      </c>
      <c r="P20">
        <f>IF(AND(SUM(VLOOKUP($A20,test!$A$3:$F$32,2,FALSE),VLOOKUP(P$1,test!$A$3:$F$32,2,FALSE))&lt;test!$K$16,$A20&lt;&gt;P$1,feasible_mat!P20=1),SUM(VLOOKUP($A20,test!$A$3:$F$32,2,FALSE),VLOOKUP(P$1,test!$A$3:$F$32,2,FALSE)),0)</f>
        <v>0</v>
      </c>
      <c r="Q20">
        <f>IF(AND(SUM(VLOOKUP($A20,test!$A$3:$F$32,2,FALSE),VLOOKUP(Q$1,test!$A$3:$F$32,2,FALSE))&lt;test!$K$16,$A20&lt;&gt;Q$1,feasible_mat!Q20=1),SUM(VLOOKUP($A20,test!$A$3:$F$32,2,FALSE),VLOOKUP(Q$1,test!$A$3:$F$32,2,FALSE)),0)</f>
        <v>0</v>
      </c>
      <c r="R20">
        <f>IF(AND(SUM(VLOOKUP($A20,test!$A$3:$F$32,2,FALSE),VLOOKUP(R$1,test!$A$3:$F$32,2,FALSE))&lt;test!$K$16,$A20&lt;&gt;R$1,feasible_mat!R20=1),SUM(VLOOKUP($A20,test!$A$3:$F$32,2,FALSE),VLOOKUP(R$1,test!$A$3:$F$32,2,FALSE)),0)</f>
        <v>0</v>
      </c>
      <c r="S20">
        <f>IF(AND(SUM(VLOOKUP($A20,test!$A$3:$F$32,2,FALSE),VLOOKUP(S$1,test!$A$3:$F$32,2,FALSE))&lt;test!$K$16,$A20&lt;&gt;S$1,feasible_mat!S20=1),SUM(VLOOKUP($A20,test!$A$3:$F$32,2,FALSE),VLOOKUP(S$1,test!$A$3:$F$32,2,FALSE)),0)</f>
        <v>0</v>
      </c>
      <c r="T20">
        <f>IF(AND(SUM(VLOOKUP($A20,test!$A$3:$F$32,2,FALSE),VLOOKUP(T$1,test!$A$3:$F$32,2,FALSE))&lt;test!$K$16,$A20&lt;&gt;T$1,feasible_mat!T20=1),SUM(VLOOKUP($A20,test!$A$3:$F$32,2,FALSE),VLOOKUP(T$1,test!$A$3:$F$32,2,FALSE)),0)</f>
        <v>0</v>
      </c>
      <c r="U20">
        <f>IF(AND(SUM(VLOOKUP($A20,test!$A$3:$F$32,2,FALSE),VLOOKUP(U$1,test!$A$3:$F$32,2,FALSE))&lt;test!$K$16,$A20&lt;&gt;U$1,feasible_mat!U20=1),SUM(VLOOKUP($A20,test!$A$3:$F$32,2,FALSE),VLOOKUP(U$1,test!$A$3:$F$32,2,FALSE)),0)</f>
        <v>0</v>
      </c>
      <c r="V20">
        <f>IF(AND(SUM(VLOOKUP($A20,test!$A$3:$F$32,2,FALSE),VLOOKUP(V$1,test!$A$3:$F$32,2,FALSE))&lt;test!$K$16,$A20&lt;&gt;V$1,feasible_mat!V20=1),SUM(VLOOKUP($A20,test!$A$3:$F$32,2,FALSE),VLOOKUP(V$1,test!$A$3:$F$32,2,FALSE)),0)</f>
        <v>0</v>
      </c>
      <c r="W20">
        <f>IF(AND(SUM(VLOOKUP($A20,test!$A$3:$F$32,2,FALSE),VLOOKUP(W$1,test!$A$3:$F$32,2,FALSE))&lt;test!$K$16,$A20&lt;&gt;W$1,feasible_mat!W20=1),SUM(VLOOKUP($A20,test!$A$3:$F$32,2,FALSE),VLOOKUP(W$1,test!$A$3:$F$32,2,FALSE)),0)</f>
        <v>0</v>
      </c>
      <c r="X20">
        <f>IF(AND(SUM(VLOOKUP($A20,test!$A$3:$F$32,2,FALSE),VLOOKUP(X$1,test!$A$3:$F$32,2,FALSE))&lt;test!$K$16,$A20&lt;&gt;X$1,feasible_mat!X20=1),SUM(VLOOKUP($A20,test!$A$3:$F$32,2,FALSE),VLOOKUP(X$1,test!$A$3:$F$32,2,FALSE)),0)</f>
        <v>0</v>
      </c>
      <c r="Y20">
        <f>IF(AND(SUM(VLOOKUP($A20,test!$A$3:$F$32,2,FALSE),VLOOKUP(Y$1,test!$A$3:$F$32,2,FALSE))&lt;test!$K$16,$A20&lt;&gt;Y$1,feasible_mat!Y20=1),SUM(VLOOKUP($A20,test!$A$3:$F$32,2,FALSE),VLOOKUP(Y$1,test!$A$3:$F$32,2,FALSE)),0)</f>
        <v>0</v>
      </c>
      <c r="Z20">
        <f>IF(AND(SUM(VLOOKUP($A20,test!$A$3:$F$32,2,FALSE),VLOOKUP(Z$1,test!$A$3:$F$32,2,FALSE))&lt;test!$K$16,$A20&lt;&gt;Z$1,feasible_mat!Z20=1),SUM(VLOOKUP($A20,test!$A$3:$F$32,2,FALSE),VLOOKUP(Z$1,test!$A$3:$F$32,2,FALSE)),0)</f>
        <v>0</v>
      </c>
      <c r="AA20">
        <f>IF(AND(SUM(VLOOKUP($A20,test!$A$3:$F$32,2,FALSE),VLOOKUP(AA$1,test!$A$3:$F$32,2,FALSE))&lt;test!$K$16,$A20&lt;&gt;AA$1,feasible_mat!AA20=1),SUM(VLOOKUP($A20,test!$A$3:$F$32,2,FALSE),VLOOKUP(AA$1,test!$A$3:$F$32,2,FALSE)),0)</f>
        <v>0</v>
      </c>
      <c r="AB20">
        <f>IF(AND(SUM(VLOOKUP($A20,test!$A$3:$F$32,2,FALSE),VLOOKUP(AB$1,test!$A$3:$F$32,2,FALSE))&lt;test!$K$16,$A20&lt;&gt;AB$1,feasible_mat!AB20=1),SUM(VLOOKUP($A20,test!$A$3:$F$32,2,FALSE),VLOOKUP(AB$1,test!$A$3:$F$32,2,FALSE)),0)</f>
        <v>0</v>
      </c>
      <c r="AC20">
        <f>IF(AND(SUM(VLOOKUP($A20,test!$A$3:$F$32,2,FALSE),VLOOKUP(AC$1,test!$A$3:$F$32,2,FALSE))&lt;test!$K$16,$A20&lt;&gt;AC$1,feasible_mat!AC20=1),SUM(VLOOKUP($A20,test!$A$3:$F$32,2,FALSE),VLOOKUP(AC$1,test!$A$3:$F$32,2,FALSE)),0)</f>
        <v>0</v>
      </c>
      <c r="AD20">
        <f>IF(AND(SUM(VLOOKUP($A20,test!$A$3:$F$32,2,FALSE),VLOOKUP(AD$1,test!$A$3:$F$32,2,FALSE))&lt;test!$K$16,$A20&lt;&gt;AD$1,feasible_mat!AD20=1),SUM(VLOOKUP($A20,test!$A$3:$F$32,2,FALSE),VLOOKUP(AD$1,test!$A$3:$F$32,2,FALSE)),0)</f>
        <v>0</v>
      </c>
      <c r="AE20">
        <f>IF(AND(SUM(VLOOKUP($A20,test!$A$3:$F$32,2,FALSE),VLOOKUP(AE$1,test!$A$3:$F$32,2,FALSE))&lt;test!$K$16,$A20&lt;&gt;AE$1,feasible_mat!AE20=1),SUM(VLOOKUP($A20,test!$A$3:$F$32,2,FALSE),VLOOKUP(AE$1,test!$A$3:$F$32,2,FALSE)),0)</f>
        <v>0</v>
      </c>
      <c r="AF20">
        <f>IF(AND(SUM(VLOOKUP($A20,test!$A$3:$F$32,2,FALSE),VLOOKUP(AF$1,test!$A$3:$F$32,2,FALSE))&lt;test!$K$16,$A20&lt;&gt;AF$1,feasible_mat!AF20=1),SUM(VLOOKUP($A20,test!$A$3:$F$32,2,FALSE),VLOOKUP(AF$1,test!$A$3:$F$32,2,FALSE)),0)</f>
        <v>0</v>
      </c>
      <c r="AG20">
        <v>60</v>
      </c>
      <c r="AH20">
        <v>75</v>
      </c>
      <c r="AI20">
        <v>70</v>
      </c>
    </row>
    <row r="21" spans="1:35" x14ac:dyDescent="0.25">
      <c r="A21" t="s">
        <v>30</v>
      </c>
      <c r="B21">
        <v>0</v>
      </c>
      <c r="C21">
        <f>IF(AND(SUM(VLOOKUP($A21,test!$A$3:$F$32,2,FALSE),VLOOKUP(C$1,test!$A$3:$F$32,2,FALSE))&lt;test!$K$16,$A21&lt;&gt;C$1,feasible_mat!C21=1),SUM(VLOOKUP($A21,test!$A$3:$F$32,2,FALSE),VLOOKUP(C$1,test!$A$3:$F$32,2,FALSE)),0)</f>
        <v>0</v>
      </c>
      <c r="D21">
        <f>IF(AND(SUM(VLOOKUP($A21,test!$A$3:$F$32,2,FALSE),VLOOKUP(D$1,test!$A$3:$F$32,2,FALSE))&lt;test!$K$16,$A21&lt;&gt;D$1,feasible_mat!D21=1),SUM(VLOOKUP($A21,test!$A$3:$F$32,2,FALSE),VLOOKUP(D$1,test!$A$3:$F$32,2,FALSE)),0)</f>
        <v>0</v>
      </c>
      <c r="E21">
        <f>IF(AND(SUM(VLOOKUP($A21,test!$A$3:$F$32,2,FALSE),VLOOKUP(E$1,test!$A$3:$F$32,2,FALSE))&lt;test!$K$16,$A21&lt;&gt;E$1,feasible_mat!E21=1),SUM(VLOOKUP($A21,test!$A$3:$F$32,2,FALSE),VLOOKUP(E$1,test!$A$3:$F$32,2,FALSE)),0)</f>
        <v>0</v>
      </c>
      <c r="F21">
        <f>IF(AND(SUM(VLOOKUP($A21,test!$A$3:$F$32,2,FALSE),VLOOKUP(F$1,test!$A$3:$F$32,2,FALSE))&lt;test!$K$16,$A21&lt;&gt;F$1,feasible_mat!F21=1),SUM(VLOOKUP($A21,test!$A$3:$F$32,2,FALSE),VLOOKUP(F$1,test!$A$3:$F$32,2,FALSE)),0)</f>
        <v>0</v>
      </c>
      <c r="G21">
        <f>IF(AND(SUM(VLOOKUP($A21,test!$A$3:$F$32,2,FALSE),VLOOKUP(G$1,test!$A$3:$F$32,2,FALSE))&lt;test!$K$16,$A21&lt;&gt;G$1,feasible_mat!G21=1),SUM(VLOOKUP($A21,test!$A$3:$F$32,2,FALSE),VLOOKUP(G$1,test!$A$3:$F$32,2,FALSE)),0)</f>
        <v>0</v>
      </c>
      <c r="H21">
        <f>IF(AND(SUM(VLOOKUP($A21,test!$A$3:$F$32,2,FALSE),VLOOKUP(H$1,test!$A$3:$F$32,2,FALSE))&lt;test!$K$16,$A21&lt;&gt;H$1,feasible_mat!H21=1),SUM(VLOOKUP($A21,test!$A$3:$F$32,2,FALSE),VLOOKUP(H$1,test!$A$3:$F$32,2,FALSE)),0)</f>
        <v>0</v>
      </c>
      <c r="I21">
        <f>IF(AND(SUM(VLOOKUP($A21,test!$A$3:$F$32,2,FALSE),VLOOKUP(I$1,test!$A$3:$F$32,2,FALSE))&lt;test!$K$16,$A21&lt;&gt;I$1,feasible_mat!I21=1),SUM(VLOOKUP($A21,test!$A$3:$F$32,2,FALSE),VLOOKUP(I$1,test!$A$3:$F$32,2,FALSE)),0)</f>
        <v>270</v>
      </c>
      <c r="J21">
        <f>IF(AND(SUM(VLOOKUP($A21,test!$A$3:$F$32,2,FALSE),VLOOKUP(J$1,test!$A$3:$F$32,2,FALSE))&lt;test!$K$16,$A21&lt;&gt;J$1,feasible_mat!J21=1),SUM(VLOOKUP($A21,test!$A$3:$F$32,2,FALSE),VLOOKUP(J$1,test!$A$3:$F$32,2,FALSE)),0)</f>
        <v>270</v>
      </c>
      <c r="K21">
        <f>IF(AND(SUM(VLOOKUP($A21,test!$A$3:$F$32,2,FALSE),VLOOKUP(K$1,test!$A$3:$F$32,2,FALSE))&lt;test!$K$16,$A21&lt;&gt;K$1,feasible_mat!K21=1),SUM(VLOOKUP($A21,test!$A$3:$F$32,2,FALSE),VLOOKUP(K$1,test!$A$3:$F$32,2,FALSE)),0)</f>
        <v>0</v>
      </c>
      <c r="L21">
        <f>IF(AND(SUM(VLOOKUP($A21,test!$A$3:$F$32,2,FALSE),VLOOKUP(L$1,test!$A$3:$F$32,2,FALSE))&lt;test!$K$16,$A21&lt;&gt;L$1,feasible_mat!L21=1),SUM(VLOOKUP($A21,test!$A$3:$F$32,2,FALSE),VLOOKUP(L$1,test!$A$3:$F$32,2,FALSE)),0)</f>
        <v>0</v>
      </c>
      <c r="M21">
        <f>IF(AND(SUM(VLOOKUP($A21,test!$A$3:$F$32,2,FALSE),VLOOKUP(M$1,test!$A$3:$F$32,2,FALSE))&lt;test!$K$16,$A21&lt;&gt;M$1,feasible_mat!M21=1),SUM(VLOOKUP($A21,test!$A$3:$F$32,2,FALSE),VLOOKUP(M$1,test!$A$3:$F$32,2,FALSE)),0)</f>
        <v>0</v>
      </c>
      <c r="N21">
        <f>IF(AND(SUM(VLOOKUP($A21,test!$A$3:$F$32,2,FALSE),VLOOKUP(N$1,test!$A$3:$F$32,2,FALSE))&lt;test!$K$16,$A21&lt;&gt;N$1,feasible_mat!N21=1),SUM(VLOOKUP($A21,test!$A$3:$F$32,2,FALSE),VLOOKUP(N$1,test!$A$3:$F$32,2,FALSE)),0)</f>
        <v>275</v>
      </c>
      <c r="O21">
        <f>IF(AND(SUM(VLOOKUP($A21,test!$A$3:$F$32,2,FALSE),VLOOKUP(O$1,test!$A$3:$F$32,2,FALSE))&lt;test!$K$16,$A21&lt;&gt;O$1,feasible_mat!O21=1),SUM(VLOOKUP($A21,test!$A$3:$F$32,2,FALSE),VLOOKUP(O$1,test!$A$3:$F$32,2,FALSE)),0)</f>
        <v>275</v>
      </c>
      <c r="P21">
        <f>IF(AND(SUM(VLOOKUP($A21,test!$A$3:$F$32,2,FALSE),VLOOKUP(P$1,test!$A$3:$F$32,2,FALSE))&lt;test!$K$16,$A21&lt;&gt;P$1,feasible_mat!P21=1),SUM(VLOOKUP($A21,test!$A$3:$F$32,2,FALSE),VLOOKUP(P$1,test!$A$3:$F$32,2,FALSE)),0)</f>
        <v>0</v>
      </c>
      <c r="Q21">
        <f>IF(AND(SUM(VLOOKUP($A21,test!$A$3:$F$32,2,FALSE),VLOOKUP(Q$1,test!$A$3:$F$32,2,FALSE))&lt;test!$K$16,$A21&lt;&gt;Q$1,feasible_mat!Q21=1),SUM(VLOOKUP($A21,test!$A$3:$F$32,2,FALSE),VLOOKUP(Q$1,test!$A$3:$F$32,2,FALSE)),0)</f>
        <v>0</v>
      </c>
      <c r="R21">
        <f>IF(AND(SUM(VLOOKUP($A21,test!$A$3:$F$32,2,FALSE),VLOOKUP(R$1,test!$A$3:$F$32,2,FALSE))&lt;test!$K$16,$A21&lt;&gt;R$1,feasible_mat!R21=1),SUM(VLOOKUP($A21,test!$A$3:$F$32,2,FALSE),VLOOKUP(R$1,test!$A$3:$F$32,2,FALSE)),0)</f>
        <v>0</v>
      </c>
      <c r="S21">
        <f>IF(AND(SUM(VLOOKUP($A21,test!$A$3:$F$32,2,FALSE),VLOOKUP(S$1,test!$A$3:$F$32,2,FALSE))&lt;test!$K$16,$A21&lt;&gt;S$1,feasible_mat!S21=1),SUM(VLOOKUP($A21,test!$A$3:$F$32,2,FALSE),VLOOKUP(S$1,test!$A$3:$F$32,2,FALSE)),0)</f>
        <v>0</v>
      </c>
      <c r="T21">
        <f>IF(AND(SUM(VLOOKUP($A21,test!$A$3:$F$32,2,FALSE),VLOOKUP(T$1,test!$A$3:$F$32,2,FALSE))&lt;test!$K$16,$A21&lt;&gt;T$1,feasible_mat!T21=1),SUM(VLOOKUP($A21,test!$A$3:$F$32,2,FALSE),VLOOKUP(T$1,test!$A$3:$F$32,2,FALSE)),0)</f>
        <v>0</v>
      </c>
      <c r="U21">
        <f>IF(AND(SUM(VLOOKUP($A21,test!$A$3:$F$32,2,FALSE),VLOOKUP(U$1,test!$A$3:$F$32,2,FALSE))&lt;test!$K$16,$A21&lt;&gt;U$1,feasible_mat!U21=1),SUM(VLOOKUP($A21,test!$A$3:$F$32,2,FALSE),VLOOKUP(U$1,test!$A$3:$F$32,2,FALSE)),0)</f>
        <v>0</v>
      </c>
      <c r="V21">
        <f>IF(AND(SUM(VLOOKUP($A21,test!$A$3:$F$32,2,FALSE),VLOOKUP(V$1,test!$A$3:$F$32,2,FALSE))&lt;test!$K$16,$A21&lt;&gt;V$1,feasible_mat!V21=1),SUM(VLOOKUP($A21,test!$A$3:$F$32,2,FALSE),VLOOKUP(V$1,test!$A$3:$F$32,2,FALSE)),0)</f>
        <v>0</v>
      </c>
      <c r="W21">
        <f>IF(AND(SUM(VLOOKUP($A21,test!$A$3:$F$32,2,FALSE),VLOOKUP(W$1,test!$A$3:$F$32,2,FALSE))&lt;test!$K$16,$A21&lt;&gt;W$1,feasible_mat!W21=1),SUM(VLOOKUP($A21,test!$A$3:$F$32,2,FALSE),VLOOKUP(W$1,test!$A$3:$F$32,2,FALSE)),0)</f>
        <v>0</v>
      </c>
      <c r="X21">
        <f>IF(AND(SUM(VLOOKUP($A21,test!$A$3:$F$32,2,FALSE),VLOOKUP(X$1,test!$A$3:$F$32,2,FALSE))&lt;test!$K$16,$A21&lt;&gt;X$1,feasible_mat!X21=1),SUM(VLOOKUP($A21,test!$A$3:$F$32,2,FALSE),VLOOKUP(X$1,test!$A$3:$F$32,2,FALSE)),0)</f>
        <v>0</v>
      </c>
      <c r="Y21">
        <f>IF(AND(SUM(VLOOKUP($A21,test!$A$3:$F$32,2,FALSE),VLOOKUP(Y$1,test!$A$3:$F$32,2,FALSE))&lt;test!$K$16,$A21&lt;&gt;Y$1,feasible_mat!Y21=1),SUM(VLOOKUP($A21,test!$A$3:$F$32,2,FALSE),VLOOKUP(Y$1,test!$A$3:$F$32,2,FALSE)),0)</f>
        <v>0</v>
      </c>
      <c r="Z21">
        <f>IF(AND(SUM(VLOOKUP($A21,test!$A$3:$F$32,2,FALSE),VLOOKUP(Z$1,test!$A$3:$F$32,2,FALSE))&lt;test!$K$16,$A21&lt;&gt;Z$1,feasible_mat!Z21=1),SUM(VLOOKUP($A21,test!$A$3:$F$32,2,FALSE),VLOOKUP(Z$1,test!$A$3:$F$32,2,FALSE)),0)</f>
        <v>0</v>
      </c>
      <c r="AA21">
        <f>IF(AND(SUM(VLOOKUP($A21,test!$A$3:$F$32,2,FALSE),VLOOKUP(AA$1,test!$A$3:$F$32,2,FALSE))&lt;test!$K$16,$A21&lt;&gt;AA$1,feasible_mat!AA21=1),SUM(VLOOKUP($A21,test!$A$3:$F$32,2,FALSE),VLOOKUP(AA$1,test!$A$3:$F$32,2,FALSE)),0)</f>
        <v>0</v>
      </c>
      <c r="AB21">
        <f>IF(AND(SUM(VLOOKUP($A21,test!$A$3:$F$32,2,FALSE),VLOOKUP(AB$1,test!$A$3:$F$32,2,FALSE))&lt;test!$K$16,$A21&lt;&gt;AB$1,feasible_mat!AB21=1),SUM(VLOOKUP($A21,test!$A$3:$F$32,2,FALSE),VLOOKUP(AB$1,test!$A$3:$F$32,2,FALSE)),0)</f>
        <v>0</v>
      </c>
      <c r="AC21">
        <f>IF(AND(SUM(VLOOKUP($A21,test!$A$3:$F$32,2,FALSE),VLOOKUP(AC$1,test!$A$3:$F$32,2,FALSE))&lt;test!$K$16,$A21&lt;&gt;AC$1,feasible_mat!AC21=1),SUM(VLOOKUP($A21,test!$A$3:$F$32,2,FALSE),VLOOKUP(AC$1,test!$A$3:$F$32,2,FALSE)),0)</f>
        <v>0</v>
      </c>
      <c r="AD21">
        <f>IF(AND(SUM(VLOOKUP($A21,test!$A$3:$F$32,2,FALSE),VLOOKUP(AD$1,test!$A$3:$F$32,2,FALSE))&lt;test!$K$16,$A21&lt;&gt;AD$1,feasible_mat!AD21=1),SUM(VLOOKUP($A21,test!$A$3:$F$32,2,FALSE),VLOOKUP(AD$1,test!$A$3:$F$32,2,FALSE)),0)</f>
        <v>0</v>
      </c>
      <c r="AE21">
        <f>IF(AND(SUM(VLOOKUP($A21,test!$A$3:$F$32,2,FALSE),VLOOKUP(AE$1,test!$A$3:$F$32,2,FALSE))&lt;test!$K$16,$A21&lt;&gt;AE$1,feasible_mat!AE21=1),SUM(VLOOKUP($A21,test!$A$3:$F$32,2,FALSE),VLOOKUP(AE$1,test!$A$3:$F$32,2,FALSE)),0)</f>
        <v>0</v>
      </c>
      <c r="AF21">
        <f>IF(AND(SUM(VLOOKUP($A21,test!$A$3:$F$32,2,FALSE),VLOOKUP(AF$1,test!$A$3:$F$32,2,FALSE))&lt;test!$K$16,$A21&lt;&gt;AF$1,feasible_mat!AF21=1),SUM(VLOOKUP($A21,test!$A$3:$F$32,2,FALSE),VLOOKUP(AF$1,test!$A$3:$F$32,2,FALSE)),0)</f>
        <v>0</v>
      </c>
      <c r="AG21">
        <v>60</v>
      </c>
      <c r="AH21">
        <v>75</v>
      </c>
      <c r="AI21">
        <v>70</v>
      </c>
    </row>
    <row r="22" spans="1:35" x14ac:dyDescent="0.25">
      <c r="A22" t="s">
        <v>31</v>
      </c>
      <c r="B22">
        <v>0</v>
      </c>
      <c r="C22">
        <f>IF(AND(SUM(VLOOKUP($A22,test!$A$3:$F$32,2,FALSE),VLOOKUP(C$1,test!$A$3:$F$32,2,FALSE))&lt;test!$K$16,$A22&lt;&gt;C$1,feasible_mat!C22=1),SUM(VLOOKUP($A22,test!$A$3:$F$32,2,FALSE),VLOOKUP(C$1,test!$A$3:$F$32,2,FALSE)),0)</f>
        <v>0</v>
      </c>
      <c r="D22">
        <f>IF(AND(SUM(VLOOKUP($A22,test!$A$3:$F$32,2,FALSE),VLOOKUP(D$1,test!$A$3:$F$32,2,FALSE))&lt;test!$K$16,$A22&lt;&gt;D$1,feasible_mat!D22=1),SUM(VLOOKUP($A22,test!$A$3:$F$32,2,FALSE),VLOOKUP(D$1,test!$A$3:$F$32,2,FALSE)),0)</f>
        <v>0</v>
      </c>
      <c r="E22">
        <f>IF(AND(SUM(VLOOKUP($A22,test!$A$3:$F$32,2,FALSE),VLOOKUP(E$1,test!$A$3:$F$32,2,FALSE))&lt;test!$K$16,$A22&lt;&gt;E$1,feasible_mat!E22=1),SUM(VLOOKUP($A22,test!$A$3:$F$32,2,FALSE),VLOOKUP(E$1,test!$A$3:$F$32,2,FALSE)),0)</f>
        <v>0</v>
      </c>
      <c r="F22">
        <f>IF(AND(SUM(VLOOKUP($A22,test!$A$3:$F$32,2,FALSE),VLOOKUP(F$1,test!$A$3:$F$32,2,FALSE))&lt;test!$K$16,$A22&lt;&gt;F$1,feasible_mat!F22=1),SUM(VLOOKUP($A22,test!$A$3:$F$32,2,FALSE),VLOOKUP(F$1,test!$A$3:$F$32,2,FALSE)),0)</f>
        <v>0</v>
      </c>
      <c r="G22">
        <f>IF(AND(SUM(VLOOKUP($A22,test!$A$3:$F$32,2,FALSE),VLOOKUP(G$1,test!$A$3:$F$32,2,FALSE))&lt;test!$K$16,$A22&lt;&gt;G$1,feasible_mat!G22=1),SUM(VLOOKUP($A22,test!$A$3:$F$32,2,FALSE),VLOOKUP(G$1,test!$A$3:$F$32,2,FALSE)),0)</f>
        <v>0</v>
      </c>
      <c r="H22">
        <f>IF(AND(SUM(VLOOKUP($A22,test!$A$3:$F$32,2,FALSE),VLOOKUP(H$1,test!$A$3:$F$32,2,FALSE))&lt;test!$K$16,$A22&lt;&gt;H$1,feasible_mat!H22=1),SUM(VLOOKUP($A22,test!$A$3:$F$32,2,FALSE),VLOOKUP(H$1,test!$A$3:$F$32,2,FALSE)),0)</f>
        <v>0</v>
      </c>
      <c r="I22">
        <f>IF(AND(SUM(VLOOKUP($A22,test!$A$3:$F$32,2,FALSE),VLOOKUP(I$1,test!$A$3:$F$32,2,FALSE))&lt;test!$K$16,$A22&lt;&gt;I$1,feasible_mat!I22=1),SUM(VLOOKUP($A22,test!$A$3:$F$32,2,FALSE),VLOOKUP(I$1,test!$A$3:$F$32,2,FALSE)),0)</f>
        <v>0</v>
      </c>
      <c r="J22">
        <f>IF(AND(SUM(VLOOKUP($A22,test!$A$3:$F$32,2,FALSE),VLOOKUP(J$1,test!$A$3:$F$32,2,FALSE))&lt;test!$K$16,$A22&lt;&gt;J$1,feasible_mat!J22=1),SUM(VLOOKUP($A22,test!$A$3:$F$32,2,FALSE),VLOOKUP(J$1,test!$A$3:$F$32,2,FALSE)),0)</f>
        <v>270</v>
      </c>
      <c r="K22">
        <f>IF(AND(SUM(VLOOKUP($A22,test!$A$3:$F$32,2,FALSE),VLOOKUP(K$1,test!$A$3:$F$32,2,FALSE))&lt;test!$K$16,$A22&lt;&gt;K$1,feasible_mat!K22=1),SUM(VLOOKUP($A22,test!$A$3:$F$32,2,FALSE),VLOOKUP(K$1,test!$A$3:$F$32,2,FALSE)),0)</f>
        <v>0</v>
      </c>
      <c r="L22">
        <f>IF(AND(SUM(VLOOKUP($A22,test!$A$3:$F$32,2,FALSE),VLOOKUP(L$1,test!$A$3:$F$32,2,FALSE))&lt;test!$K$16,$A22&lt;&gt;L$1,feasible_mat!L22=1),SUM(VLOOKUP($A22,test!$A$3:$F$32,2,FALSE),VLOOKUP(L$1,test!$A$3:$F$32,2,FALSE)),0)</f>
        <v>0</v>
      </c>
      <c r="M22">
        <f>IF(AND(SUM(VLOOKUP($A22,test!$A$3:$F$32,2,FALSE),VLOOKUP(M$1,test!$A$3:$F$32,2,FALSE))&lt;test!$K$16,$A22&lt;&gt;M$1,feasible_mat!M22=1),SUM(VLOOKUP($A22,test!$A$3:$F$32,2,FALSE),VLOOKUP(M$1,test!$A$3:$F$32,2,FALSE)),0)</f>
        <v>0</v>
      </c>
      <c r="N22">
        <f>IF(AND(SUM(VLOOKUP($A22,test!$A$3:$F$32,2,FALSE),VLOOKUP(N$1,test!$A$3:$F$32,2,FALSE))&lt;test!$K$16,$A22&lt;&gt;N$1,feasible_mat!N22=1),SUM(VLOOKUP($A22,test!$A$3:$F$32,2,FALSE),VLOOKUP(N$1,test!$A$3:$F$32,2,FALSE)),0)</f>
        <v>275</v>
      </c>
      <c r="O22">
        <f>IF(AND(SUM(VLOOKUP($A22,test!$A$3:$F$32,2,FALSE),VLOOKUP(O$1,test!$A$3:$F$32,2,FALSE))&lt;test!$K$16,$A22&lt;&gt;O$1,feasible_mat!O22=1),SUM(VLOOKUP($A22,test!$A$3:$F$32,2,FALSE),VLOOKUP(O$1,test!$A$3:$F$32,2,FALSE)),0)</f>
        <v>275</v>
      </c>
      <c r="P22">
        <f>IF(AND(SUM(VLOOKUP($A22,test!$A$3:$F$32,2,FALSE),VLOOKUP(P$1,test!$A$3:$F$32,2,FALSE))&lt;test!$K$16,$A22&lt;&gt;P$1,feasible_mat!P22=1),SUM(VLOOKUP($A22,test!$A$3:$F$32,2,FALSE),VLOOKUP(P$1,test!$A$3:$F$32,2,FALSE)),0)</f>
        <v>0</v>
      </c>
      <c r="Q22">
        <f>IF(AND(SUM(VLOOKUP($A22,test!$A$3:$F$32,2,FALSE),VLOOKUP(Q$1,test!$A$3:$F$32,2,FALSE))&lt;test!$K$16,$A22&lt;&gt;Q$1,feasible_mat!Q22=1),SUM(VLOOKUP($A22,test!$A$3:$F$32,2,FALSE),VLOOKUP(Q$1,test!$A$3:$F$32,2,FALSE)),0)</f>
        <v>0</v>
      </c>
      <c r="R22">
        <f>IF(AND(SUM(VLOOKUP($A22,test!$A$3:$F$32,2,FALSE),VLOOKUP(R$1,test!$A$3:$F$32,2,FALSE))&lt;test!$K$16,$A22&lt;&gt;R$1,feasible_mat!R22=1),SUM(VLOOKUP($A22,test!$A$3:$F$32,2,FALSE),VLOOKUP(R$1,test!$A$3:$F$32,2,FALSE)),0)</f>
        <v>0</v>
      </c>
      <c r="S22">
        <f>IF(AND(SUM(VLOOKUP($A22,test!$A$3:$F$32,2,FALSE),VLOOKUP(S$1,test!$A$3:$F$32,2,FALSE))&lt;test!$K$16,$A22&lt;&gt;S$1,feasible_mat!S22=1),SUM(VLOOKUP($A22,test!$A$3:$F$32,2,FALSE),VLOOKUP(S$1,test!$A$3:$F$32,2,FALSE)),0)</f>
        <v>0</v>
      </c>
      <c r="T22">
        <f>IF(AND(SUM(VLOOKUP($A22,test!$A$3:$F$32,2,FALSE),VLOOKUP(T$1,test!$A$3:$F$32,2,FALSE))&lt;test!$K$16,$A22&lt;&gt;T$1,feasible_mat!T22=1),SUM(VLOOKUP($A22,test!$A$3:$F$32,2,FALSE),VLOOKUP(T$1,test!$A$3:$F$32,2,FALSE)),0)</f>
        <v>0</v>
      </c>
      <c r="U22">
        <f>IF(AND(SUM(VLOOKUP($A22,test!$A$3:$F$32,2,FALSE),VLOOKUP(U$1,test!$A$3:$F$32,2,FALSE))&lt;test!$K$16,$A22&lt;&gt;U$1,feasible_mat!U22=1),SUM(VLOOKUP($A22,test!$A$3:$F$32,2,FALSE),VLOOKUP(U$1,test!$A$3:$F$32,2,FALSE)),0)</f>
        <v>0</v>
      </c>
      <c r="V22">
        <f>IF(AND(SUM(VLOOKUP($A22,test!$A$3:$F$32,2,FALSE),VLOOKUP(V$1,test!$A$3:$F$32,2,FALSE))&lt;test!$K$16,$A22&lt;&gt;V$1,feasible_mat!V22=1),SUM(VLOOKUP($A22,test!$A$3:$F$32,2,FALSE),VLOOKUP(V$1,test!$A$3:$F$32,2,FALSE)),0)</f>
        <v>0</v>
      </c>
      <c r="W22">
        <f>IF(AND(SUM(VLOOKUP($A22,test!$A$3:$F$32,2,FALSE),VLOOKUP(W$1,test!$A$3:$F$32,2,FALSE))&lt;test!$K$16,$A22&lt;&gt;W$1,feasible_mat!W22=1),SUM(VLOOKUP($A22,test!$A$3:$F$32,2,FALSE),VLOOKUP(W$1,test!$A$3:$F$32,2,FALSE)),0)</f>
        <v>0</v>
      </c>
      <c r="X22">
        <f>IF(AND(SUM(VLOOKUP($A22,test!$A$3:$F$32,2,FALSE),VLOOKUP(X$1,test!$A$3:$F$32,2,FALSE))&lt;test!$K$16,$A22&lt;&gt;X$1,feasible_mat!X22=1),SUM(VLOOKUP($A22,test!$A$3:$F$32,2,FALSE),VLOOKUP(X$1,test!$A$3:$F$32,2,FALSE)),0)</f>
        <v>0</v>
      </c>
      <c r="Y22">
        <f>IF(AND(SUM(VLOOKUP($A22,test!$A$3:$F$32,2,FALSE),VLOOKUP(Y$1,test!$A$3:$F$32,2,FALSE))&lt;test!$K$16,$A22&lt;&gt;Y$1,feasible_mat!Y22=1),SUM(VLOOKUP($A22,test!$A$3:$F$32,2,FALSE),VLOOKUP(Y$1,test!$A$3:$F$32,2,FALSE)),0)</f>
        <v>0</v>
      </c>
      <c r="Z22">
        <f>IF(AND(SUM(VLOOKUP($A22,test!$A$3:$F$32,2,FALSE),VLOOKUP(Z$1,test!$A$3:$F$32,2,FALSE))&lt;test!$K$16,$A22&lt;&gt;Z$1,feasible_mat!Z22=1),SUM(VLOOKUP($A22,test!$A$3:$F$32,2,FALSE),VLOOKUP(Z$1,test!$A$3:$F$32,2,FALSE)),0)</f>
        <v>0</v>
      </c>
      <c r="AA22">
        <f>IF(AND(SUM(VLOOKUP($A22,test!$A$3:$F$32,2,FALSE),VLOOKUP(AA$1,test!$A$3:$F$32,2,FALSE))&lt;test!$K$16,$A22&lt;&gt;AA$1,feasible_mat!AA22=1),SUM(VLOOKUP($A22,test!$A$3:$F$32,2,FALSE),VLOOKUP(AA$1,test!$A$3:$F$32,2,FALSE)),0)</f>
        <v>0</v>
      </c>
      <c r="AB22">
        <f>IF(AND(SUM(VLOOKUP($A22,test!$A$3:$F$32,2,FALSE),VLOOKUP(AB$1,test!$A$3:$F$32,2,FALSE))&lt;test!$K$16,$A22&lt;&gt;AB$1,feasible_mat!AB22=1),SUM(VLOOKUP($A22,test!$A$3:$F$32,2,FALSE),VLOOKUP(AB$1,test!$A$3:$F$32,2,FALSE)),0)</f>
        <v>0</v>
      </c>
      <c r="AC22">
        <f>IF(AND(SUM(VLOOKUP($A22,test!$A$3:$F$32,2,FALSE),VLOOKUP(AC$1,test!$A$3:$F$32,2,FALSE))&lt;test!$K$16,$A22&lt;&gt;AC$1,feasible_mat!AC22=1),SUM(VLOOKUP($A22,test!$A$3:$F$32,2,FALSE),VLOOKUP(AC$1,test!$A$3:$F$32,2,FALSE)),0)</f>
        <v>0</v>
      </c>
      <c r="AD22">
        <f>IF(AND(SUM(VLOOKUP($A22,test!$A$3:$F$32,2,FALSE),VLOOKUP(AD$1,test!$A$3:$F$32,2,FALSE))&lt;test!$K$16,$A22&lt;&gt;AD$1,feasible_mat!AD22=1),SUM(VLOOKUP($A22,test!$A$3:$F$32,2,FALSE),VLOOKUP(AD$1,test!$A$3:$F$32,2,FALSE)),0)</f>
        <v>0</v>
      </c>
      <c r="AE22">
        <f>IF(AND(SUM(VLOOKUP($A22,test!$A$3:$F$32,2,FALSE),VLOOKUP(AE$1,test!$A$3:$F$32,2,FALSE))&lt;test!$K$16,$A22&lt;&gt;AE$1,feasible_mat!AE22=1),SUM(VLOOKUP($A22,test!$A$3:$F$32,2,FALSE),VLOOKUP(AE$1,test!$A$3:$F$32,2,FALSE)),0)</f>
        <v>0</v>
      </c>
      <c r="AF22">
        <f>IF(AND(SUM(VLOOKUP($A22,test!$A$3:$F$32,2,FALSE),VLOOKUP(AF$1,test!$A$3:$F$32,2,FALSE))&lt;test!$K$16,$A22&lt;&gt;AF$1,feasible_mat!AF22=1),SUM(VLOOKUP($A22,test!$A$3:$F$32,2,FALSE),VLOOKUP(AF$1,test!$A$3:$F$32,2,FALSE)),0)</f>
        <v>0</v>
      </c>
      <c r="AG22">
        <v>60</v>
      </c>
      <c r="AH22">
        <v>75</v>
      </c>
      <c r="AI22">
        <v>70</v>
      </c>
    </row>
    <row r="23" spans="1:35" x14ac:dyDescent="0.25">
      <c r="A23" t="s">
        <v>32</v>
      </c>
      <c r="B23">
        <v>0</v>
      </c>
      <c r="C23">
        <f>IF(AND(SUM(VLOOKUP($A23,test!$A$3:$F$32,2,FALSE),VLOOKUP(C$1,test!$A$3:$F$32,2,FALSE))&lt;test!$K$16,$A23&lt;&gt;C$1,feasible_mat!C23=1),SUM(VLOOKUP($A23,test!$A$3:$F$32,2,FALSE),VLOOKUP(C$1,test!$A$3:$F$32,2,FALSE)),0)</f>
        <v>0</v>
      </c>
      <c r="D23">
        <f>IF(AND(SUM(VLOOKUP($A23,test!$A$3:$F$32,2,FALSE),VLOOKUP(D$1,test!$A$3:$F$32,2,FALSE))&lt;test!$K$16,$A23&lt;&gt;D$1,feasible_mat!D23=1),SUM(VLOOKUP($A23,test!$A$3:$F$32,2,FALSE),VLOOKUP(D$1,test!$A$3:$F$32,2,FALSE)),0)</f>
        <v>0</v>
      </c>
      <c r="E23">
        <f>IF(AND(SUM(VLOOKUP($A23,test!$A$3:$F$32,2,FALSE),VLOOKUP(E$1,test!$A$3:$F$32,2,FALSE))&lt;test!$K$16,$A23&lt;&gt;E$1,feasible_mat!E23=1),SUM(VLOOKUP($A23,test!$A$3:$F$32,2,FALSE),VLOOKUP(E$1,test!$A$3:$F$32,2,FALSE)),0)</f>
        <v>0</v>
      </c>
      <c r="F23">
        <f>IF(AND(SUM(VLOOKUP($A23,test!$A$3:$F$32,2,FALSE),VLOOKUP(F$1,test!$A$3:$F$32,2,FALSE))&lt;test!$K$16,$A23&lt;&gt;F$1,feasible_mat!F23=1),SUM(VLOOKUP($A23,test!$A$3:$F$32,2,FALSE),VLOOKUP(F$1,test!$A$3:$F$32,2,FALSE)),0)</f>
        <v>0</v>
      </c>
      <c r="G23">
        <f>IF(AND(SUM(VLOOKUP($A23,test!$A$3:$F$32,2,FALSE),VLOOKUP(G$1,test!$A$3:$F$32,2,FALSE))&lt;test!$K$16,$A23&lt;&gt;G$1,feasible_mat!G23=1),SUM(VLOOKUP($A23,test!$A$3:$F$32,2,FALSE),VLOOKUP(G$1,test!$A$3:$F$32,2,FALSE)),0)</f>
        <v>0</v>
      </c>
      <c r="H23">
        <f>IF(AND(SUM(VLOOKUP($A23,test!$A$3:$F$32,2,FALSE),VLOOKUP(H$1,test!$A$3:$F$32,2,FALSE))&lt;test!$K$16,$A23&lt;&gt;H$1,feasible_mat!H23=1),SUM(VLOOKUP($A23,test!$A$3:$F$32,2,FALSE),VLOOKUP(H$1,test!$A$3:$F$32,2,FALSE)),0)</f>
        <v>0</v>
      </c>
      <c r="I23">
        <f>IF(AND(SUM(VLOOKUP($A23,test!$A$3:$F$32,2,FALSE),VLOOKUP(I$1,test!$A$3:$F$32,2,FALSE))&lt;test!$K$16,$A23&lt;&gt;I$1,feasible_mat!I23=1),SUM(VLOOKUP($A23,test!$A$3:$F$32,2,FALSE),VLOOKUP(I$1,test!$A$3:$F$32,2,FALSE)),0)</f>
        <v>0</v>
      </c>
      <c r="J23">
        <f>IF(AND(SUM(VLOOKUP($A23,test!$A$3:$F$32,2,FALSE),VLOOKUP(J$1,test!$A$3:$F$32,2,FALSE))&lt;test!$K$16,$A23&lt;&gt;J$1,feasible_mat!J23=1),SUM(VLOOKUP($A23,test!$A$3:$F$32,2,FALSE),VLOOKUP(J$1,test!$A$3:$F$32,2,FALSE)),0)</f>
        <v>0</v>
      </c>
      <c r="K23">
        <f>IF(AND(SUM(VLOOKUP($A23,test!$A$3:$F$32,2,FALSE),VLOOKUP(K$1,test!$A$3:$F$32,2,FALSE))&lt;test!$K$16,$A23&lt;&gt;K$1,feasible_mat!K23=1),SUM(VLOOKUP($A23,test!$A$3:$F$32,2,FALSE),VLOOKUP(K$1,test!$A$3:$F$32,2,FALSE)),0)</f>
        <v>0</v>
      </c>
      <c r="L23">
        <f>IF(AND(SUM(VLOOKUP($A23,test!$A$3:$F$32,2,FALSE),VLOOKUP(L$1,test!$A$3:$F$32,2,FALSE))&lt;test!$K$16,$A23&lt;&gt;L$1,feasible_mat!L23=1),SUM(VLOOKUP($A23,test!$A$3:$F$32,2,FALSE),VLOOKUP(L$1,test!$A$3:$F$32,2,FALSE)),0)</f>
        <v>0</v>
      </c>
      <c r="M23">
        <f>IF(AND(SUM(VLOOKUP($A23,test!$A$3:$F$32,2,FALSE),VLOOKUP(M$1,test!$A$3:$F$32,2,FALSE))&lt;test!$K$16,$A23&lt;&gt;M$1,feasible_mat!M23=1),SUM(VLOOKUP($A23,test!$A$3:$F$32,2,FALSE),VLOOKUP(M$1,test!$A$3:$F$32,2,FALSE)),0)</f>
        <v>0</v>
      </c>
      <c r="N23">
        <f>IF(AND(SUM(VLOOKUP($A23,test!$A$3:$F$32,2,FALSE),VLOOKUP(N$1,test!$A$3:$F$32,2,FALSE))&lt;test!$K$16,$A23&lt;&gt;N$1,feasible_mat!N23=1),SUM(VLOOKUP($A23,test!$A$3:$F$32,2,FALSE),VLOOKUP(N$1,test!$A$3:$F$32,2,FALSE)),0)</f>
        <v>0</v>
      </c>
      <c r="O23">
        <f>IF(AND(SUM(VLOOKUP($A23,test!$A$3:$F$32,2,FALSE),VLOOKUP(O$1,test!$A$3:$F$32,2,FALSE))&lt;test!$K$16,$A23&lt;&gt;O$1,feasible_mat!O23=1),SUM(VLOOKUP($A23,test!$A$3:$F$32,2,FALSE),VLOOKUP(O$1,test!$A$3:$F$32,2,FALSE)),0)</f>
        <v>0</v>
      </c>
      <c r="P23">
        <f>IF(AND(SUM(VLOOKUP($A23,test!$A$3:$F$32,2,FALSE),VLOOKUP(P$1,test!$A$3:$F$32,2,FALSE))&lt;test!$K$16,$A23&lt;&gt;P$1,feasible_mat!P23=1),SUM(VLOOKUP($A23,test!$A$3:$F$32,2,FALSE),VLOOKUP(P$1,test!$A$3:$F$32,2,FALSE)),0)</f>
        <v>0</v>
      </c>
      <c r="Q23">
        <f>IF(AND(SUM(VLOOKUP($A23,test!$A$3:$F$32,2,FALSE),VLOOKUP(Q$1,test!$A$3:$F$32,2,FALSE))&lt;test!$K$16,$A23&lt;&gt;Q$1,feasible_mat!Q23=1),SUM(VLOOKUP($A23,test!$A$3:$F$32,2,FALSE),VLOOKUP(Q$1,test!$A$3:$F$32,2,FALSE)),0)</f>
        <v>0</v>
      </c>
      <c r="R23">
        <f>IF(AND(SUM(VLOOKUP($A23,test!$A$3:$F$32,2,FALSE),VLOOKUP(R$1,test!$A$3:$F$32,2,FALSE))&lt;test!$K$16,$A23&lt;&gt;R$1,feasible_mat!R23=1),SUM(VLOOKUP($A23,test!$A$3:$F$32,2,FALSE),VLOOKUP(R$1,test!$A$3:$F$32,2,FALSE)),0)</f>
        <v>0</v>
      </c>
      <c r="S23">
        <f>IF(AND(SUM(VLOOKUP($A23,test!$A$3:$F$32,2,FALSE),VLOOKUP(S$1,test!$A$3:$F$32,2,FALSE))&lt;test!$K$16,$A23&lt;&gt;S$1,feasible_mat!S23=1),SUM(VLOOKUP($A23,test!$A$3:$F$32,2,FALSE),VLOOKUP(S$1,test!$A$3:$F$32,2,FALSE)),0)</f>
        <v>0</v>
      </c>
      <c r="T23">
        <f>IF(AND(SUM(VLOOKUP($A23,test!$A$3:$F$32,2,FALSE),VLOOKUP(T$1,test!$A$3:$F$32,2,FALSE))&lt;test!$K$16,$A23&lt;&gt;T$1,feasible_mat!T23=1),SUM(VLOOKUP($A23,test!$A$3:$F$32,2,FALSE),VLOOKUP(T$1,test!$A$3:$F$32,2,FALSE)),0)</f>
        <v>0</v>
      </c>
      <c r="U23">
        <f>IF(AND(SUM(VLOOKUP($A23,test!$A$3:$F$32,2,FALSE),VLOOKUP(U$1,test!$A$3:$F$32,2,FALSE))&lt;test!$K$16,$A23&lt;&gt;U$1,feasible_mat!U23=1),SUM(VLOOKUP($A23,test!$A$3:$F$32,2,FALSE),VLOOKUP(U$1,test!$A$3:$F$32,2,FALSE)),0)</f>
        <v>0</v>
      </c>
      <c r="V23">
        <f>IF(AND(SUM(VLOOKUP($A23,test!$A$3:$F$32,2,FALSE),VLOOKUP(V$1,test!$A$3:$F$32,2,FALSE))&lt;test!$K$16,$A23&lt;&gt;V$1,feasible_mat!V23=1),SUM(VLOOKUP($A23,test!$A$3:$F$32,2,FALSE),VLOOKUP(V$1,test!$A$3:$F$32,2,FALSE)),0)</f>
        <v>0</v>
      </c>
      <c r="W23">
        <f>IF(AND(SUM(VLOOKUP($A23,test!$A$3:$F$32,2,FALSE),VLOOKUP(W$1,test!$A$3:$F$32,2,FALSE))&lt;test!$K$16,$A23&lt;&gt;W$1,feasible_mat!W23=1),SUM(VLOOKUP($A23,test!$A$3:$F$32,2,FALSE),VLOOKUP(W$1,test!$A$3:$F$32,2,FALSE)),0)</f>
        <v>0</v>
      </c>
      <c r="X23">
        <f>IF(AND(SUM(VLOOKUP($A23,test!$A$3:$F$32,2,FALSE),VLOOKUP(X$1,test!$A$3:$F$32,2,FALSE))&lt;test!$K$16,$A23&lt;&gt;X$1,feasible_mat!X23=1),SUM(VLOOKUP($A23,test!$A$3:$F$32,2,FALSE),VLOOKUP(X$1,test!$A$3:$F$32,2,FALSE)),0)</f>
        <v>0</v>
      </c>
      <c r="Y23">
        <f>IF(AND(SUM(VLOOKUP($A23,test!$A$3:$F$32,2,FALSE),VLOOKUP(Y$1,test!$A$3:$F$32,2,FALSE))&lt;test!$K$16,$A23&lt;&gt;Y$1,feasible_mat!Y23=1),SUM(VLOOKUP($A23,test!$A$3:$F$32,2,FALSE),VLOOKUP(Y$1,test!$A$3:$F$32,2,FALSE)),0)</f>
        <v>0</v>
      </c>
      <c r="Z23">
        <f>IF(AND(SUM(VLOOKUP($A23,test!$A$3:$F$32,2,FALSE),VLOOKUP(Z$1,test!$A$3:$F$32,2,FALSE))&lt;test!$K$16,$A23&lt;&gt;Z$1,feasible_mat!Z23=1),SUM(VLOOKUP($A23,test!$A$3:$F$32,2,FALSE),VLOOKUP(Z$1,test!$A$3:$F$32,2,FALSE)),0)</f>
        <v>0</v>
      </c>
      <c r="AA23">
        <f>IF(AND(SUM(VLOOKUP($A23,test!$A$3:$F$32,2,FALSE),VLOOKUP(AA$1,test!$A$3:$F$32,2,FALSE))&lt;test!$K$16,$A23&lt;&gt;AA$1,feasible_mat!AA23=1),SUM(VLOOKUP($A23,test!$A$3:$F$32,2,FALSE),VLOOKUP(AA$1,test!$A$3:$F$32,2,FALSE)),0)</f>
        <v>0</v>
      </c>
      <c r="AB23">
        <f>IF(AND(SUM(VLOOKUP($A23,test!$A$3:$F$32,2,FALSE),VLOOKUP(AB$1,test!$A$3:$F$32,2,FALSE))&lt;test!$K$16,$A23&lt;&gt;AB$1,feasible_mat!AB23=1),SUM(VLOOKUP($A23,test!$A$3:$F$32,2,FALSE),VLOOKUP(AB$1,test!$A$3:$F$32,2,FALSE)),0)</f>
        <v>0</v>
      </c>
      <c r="AC23">
        <f>IF(AND(SUM(VLOOKUP($A23,test!$A$3:$F$32,2,FALSE),VLOOKUP(AC$1,test!$A$3:$F$32,2,FALSE))&lt;test!$K$16,$A23&lt;&gt;AC$1,feasible_mat!AC23=1),SUM(VLOOKUP($A23,test!$A$3:$F$32,2,FALSE),VLOOKUP(AC$1,test!$A$3:$F$32,2,FALSE)),0)</f>
        <v>0</v>
      </c>
      <c r="AD23">
        <f>IF(AND(SUM(VLOOKUP($A23,test!$A$3:$F$32,2,FALSE),VLOOKUP(AD$1,test!$A$3:$F$32,2,FALSE))&lt;test!$K$16,$A23&lt;&gt;AD$1,feasible_mat!AD23=1),SUM(VLOOKUP($A23,test!$A$3:$F$32,2,FALSE),VLOOKUP(AD$1,test!$A$3:$F$32,2,FALSE)),0)</f>
        <v>0</v>
      </c>
      <c r="AE23">
        <f>IF(AND(SUM(VLOOKUP($A23,test!$A$3:$F$32,2,FALSE),VLOOKUP(AE$1,test!$A$3:$F$32,2,FALSE))&lt;test!$K$16,$A23&lt;&gt;AE$1,feasible_mat!AE23=1),SUM(VLOOKUP($A23,test!$A$3:$F$32,2,FALSE),VLOOKUP(AE$1,test!$A$3:$F$32,2,FALSE)),0)</f>
        <v>0</v>
      </c>
      <c r="AF23">
        <f>IF(AND(SUM(VLOOKUP($A23,test!$A$3:$F$32,2,FALSE),VLOOKUP(AF$1,test!$A$3:$F$32,2,FALSE))&lt;test!$K$16,$A23&lt;&gt;AF$1,feasible_mat!AF23=1),SUM(VLOOKUP($A23,test!$A$3:$F$32,2,FALSE),VLOOKUP(AF$1,test!$A$3:$F$32,2,FALSE)),0)</f>
        <v>0</v>
      </c>
      <c r="AG23">
        <v>60</v>
      </c>
      <c r="AH23">
        <v>75</v>
      </c>
      <c r="AI23">
        <v>70</v>
      </c>
    </row>
    <row r="24" spans="1:35" x14ac:dyDescent="0.25">
      <c r="A24" t="s">
        <v>33</v>
      </c>
      <c r="B24">
        <v>0</v>
      </c>
      <c r="C24">
        <f>IF(AND(SUM(VLOOKUP($A24,test!$A$3:$F$32,2,FALSE),VLOOKUP(C$1,test!$A$3:$F$32,2,FALSE))&lt;test!$K$16,$A24&lt;&gt;C$1,feasible_mat!C24=1),SUM(VLOOKUP($A24,test!$A$3:$F$32,2,FALSE),VLOOKUP(C$1,test!$A$3:$F$32,2,FALSE)),0)</f>
        <v>0</v>
      </c>
      <c r="D24">
        <f>IF(AND(SUM(VLOOKUP($A24,test!$A$3:$F$32,2,FALSE),VLOOKUP(D$1,test!$A$3:$F$32,2,FALSE))&lt;test!$K$16,$A24&lt;&gt;D$1,feasible_mat!D24=1),SUM(VLOOKUP($A24,test!$A$3:$F$32,2,FALSE),VLOOKUP(D$1,test!$A$3:$F$32,2,FALSE)),0)</f>
        <v>0</v>
      </c>
      <c r="E24">
        <f>IF(AND(SUM(VLOOKUP($A24,test!$A$3:$F$32,2,FALSE),VLOOKUP(E$1,test!$A$3:$F$32,2,FALSE))&lt;test!$K$16,$A24&lt;&gt;E$1,feasible_mat!E24=1),SUM(VLOOKUP($A24,test!$A$3:$F$32,2,FALSE),VLOOKUP(E$1,test!$A$3:$F$32,2,FALSE)),0)</f>
        <v>0</v>
      </c>
      <c r="F24">
        <f>IF(AND(SUM(VLOOKUP($A24,test!$A$3:$F$32,2,FALSE),VLOOKUP(F$1,test!$A$3:$F$32,2,FALSE))&lt;test!$K$16,$A24&lt;&gt;F$1,feasible_mat!F24=1),SUM(VLOOKUP($A24,test!$A$3:$F$32,2,FALSE),VLOOKUP(F$1,test!$A$3:$F$32,2,FALSE)),0)</f>
        <v>0</v>
      </c>
      <c r="G24">
        <f>IF(AND(SUM(VLOOKUP($A24,test!$A$3:$F$32,2,FALSE),VLOOKUP(G$1,test!$A$3:$F$32,2,FALSE))&lt;test!$K$16,$A24&lt;&gt;G$1,feasible_mat!G24=1),SUM(VLOOKUP($A24,test!$A$3:$F$32,2,FALSE),VLOOKUP(G$1,test!$A$3:$F$32,2,FALSE)),0)</f>
        <v>0</v>
      </c>
      <c r="H24">
        <f>IF(AND(SUM(VLOOKUP($A24,test!$A$3:$F$32,2,FALSE),VLOOKUP(H$1,test!$A$3:$F$32,2,FALSE))&lt;test!$K$16,$A24&lt;&gt;H$1,feasible_mat!H24=1),SUM(VLOOKUP($A24,test!$A$3:$F$32,2,FALSE),VLOOKUP(H$1,test!$A$3:$F$32,2,FALSE)),0)</f>
        <v>0</v>
      </c>
      <c r="I24">
        <f>IF(AND(SUM(VLOOKUP($A24,test!$A$3:$F$32,2,FALSE),VLOOKUP(I$1,test!$A$3:$F$32,2,FALSE))&lt;test!$K$16,$A24&lt;&gt;I$1,feasible_mat!I24=1),SUM(VLOOKUP($A24,test!$A$3:$F$32,2,FALSE),VLOOKUP(I$1,test!$A$3:$F$32,2,FALSE)),0)</f>
        <v>0</v>
      </c>
      <c r="J24">
        <f>IF(AND(SUM(VLOOKUP($A24,test!$A$3:$F$32,2,FALSE),VLOOKUP(J$1,test!$A$3:$F$32,2,FALSE))&lt;test!$K$16,$A24&lt;&gt;J$1,feasible_mat!J24=1),SUM(VLOOKUP($A24,test!$A$3:$F$32,2,FALSE),VLOOKUP(J$1,test!$A$3:$F$32,2,FALSE)),0)</f>
        <v>0</v>
      </c>
      <c r="K24">
        <f>IF(AND(SUM(VLOOKUP($A24,test!$A$3:$F$32,2,FALSE),VLOOKUP(K$1,test!$A$3:$F$32,2,FALSE))&lt;test!$K$16,$A24&lt;&gt;K$1,feasible_mat!K24=1),SUM(VLOOKUP($A24,test!$A$3:$F$32,2,FALSE),VLOOKUP(K$1,test!$A$3:$F$32,2,FALSE)),0)</f>
        <v>0</v>
      </c>
      <c r="L24">
        <f>IF(AND(SUM(VLOOKUP($A24,test!$A$3:$F$32,2,FALSE),VLOOKUP(L$1,test!$A$3:$F$32,2,FALSE))&lt;test!$K$16,$A24&lt;&gt;L$1,feasible_mat!L24=1),SUM(VLOOKUP($A24,test!$A$3:$F$32,2,FALSE),VLOOKUP(L$1,test!$A$3:$F$32,2,FALSE)),0)</f>
        <v>0</v>
      </c>
      <c r="M24">
        <f>IF(AND(SUM(VLOOKUP($A24,test!$A$3:$F$32,2,FALSE),VLOOKUP(M$1,test!$A$3:$F$32,2,FALSE))&lt;test!$K$16,$A24&lt;&gt;M$1,feasible_mat!M24=1),SUM(VLOOKUP($A24,test!$A$3:$F$32,2,FALSE),VLOOKUP(M$1,test!$A$3:$F$32,2,FALSE)),0)</f>
        <v>0</v>
      </c>
      <c r="N24">
        <f>IF(AND(SUM(VLOOKUP($A24,test!$A$3:$F$32,2,FALSE),VLOOKUP(N$1,test!$A$3:$F$32,2,FALSE))&lt;test!$K$16,$A24&lt;&gt;N$1,feasible_mat!N24=1),SUM(VLOOKUP($A24,test!$A$3:$F$32,2,FALSE),VLOOKUP(N$1,test!$A$3:$F$32,2,FALSE)),0)</f>
        <v>0</v>
      </c>
      <c r="O24">
        <f>IF(AND(SUM(VLOOKUP($A24,test!$A$3:$F$32,2,FALSE),VLOOKUP(O$1,test!$A$3:$F$32,2,FALSE))&lt;test!$K$16,$A24&lt;&gt;O$1,feasible_mat!O24=1),SUM(VLOOKUP($A24,test!$A$3:$F$32,2,FALSE),VLOOKUP(O$1,test!$A$3:$F$32,2,FALSE)),0)</f>
        <v>0</v>
      </c>
      <c r="P24">
        <f>IF(AND(SUM(VLOOKUP($A24,test!$A$3:$F$32,2,FALSE),VLOOKUP(P$1,test!$A$3:$F$32,2,FALSE))&lt;test!$K$16,$A24&lt;&gt;P$1,feasible_mat!P24=1),SUM(VLOOKUP($A24,test!$A$3:$F$32,2,FALSE),VLOOKUP(P$1,test!$A$3:$F$32,2,FALSE)),0)</f>
        <v>0</v>
      </c>
      <c r="Q24">
        <f>IF(AND(SUM(VLOOKUP($A24,test!$A$3:$F$32,2,FALSE),VLOOKUP(Q$1,test!$A$3:$F$32,2,FALSE))&lt;test!$K$16,$A24&lt;&gt;Q$1,feasible_mat!Q24=1),SUM(VLOOKUP($A24,test!$A$3:$F$32,2,FALSE),VLOOKUP(Q$1,test!$A$3:$F$32,2,FALSE)),0)</f>
        <v>0</v>
      </c>
      <c r="R24">
        <f>IF(AND(SUM(VLOOKUP($A24,test!$A$3:$F$32,2,FALSE),VLOOKUP(R$1,test!$A$3:$F$32,2,FALSE))&lt;test!$K$16,$A24&lt;&gt;R$1,feasible_mat!R24=1),SUM(VLOOKUP($A24,test!$A$3:$F$32,2,FALSE),VLOOKUP(R$1,test!$A$3:$F$32,2,FALSE)),0)</f>
        <v>0</v>
      </c>
      <c r="S24">
        <f>IF(AND(SUM(VLOOKUP($A24,test!$A$3:$F$32,2,FALSE),VLOOKUP(S$1,test!$A$3:$F$32,2,FALSE))&lt;test!$K$16,$A24&lt;&gt;S$1,feasible_mat!S24=1),SUM(VLOOKUP($A24,test!$A$3:$F$32,2,FALSE),VLOOKUP(S$1,test!$A$3:$F$32,2,FALSE)),0)</f>
        <v>0</v>
      </c>
      <c r="T24">
        <f>IF(AND(SUM(VLOOKUP($A24,test!$A$3:$F$32,2,FALSE),VLOOKUP(T$1,test!$A$3:$F$32,2,FALSE))&lt;test!$K$16,$A24&lt;&gt;T$1,feasible_mat!T24=1),SUM(VLOOKUP($A24,test!$A$3:$F$32,2,FALSE),VLOOKUP(T$1,test!$A$3:$F$32,2,FALSE)),0)</f>
        <v>0</v>
      </c>
      <c r="U24">
        <f>IF(AND(SUM(VLOOKUP($A24,test!$A$3:$F$32,2,FALSE),VLOOKUP(U$1,test!$A$3:$F$32,2,FALSE))&lt;test!$K$16,$A24&lt;&gt;U$1,feasible_mat!U24=1),SUM(VLOOKUP($A24,test!$A$3:$F$32,2,FALSE),VLOOKUP(U$1,test!$A$3:$F$32,2,FALSE)),0)</f>
        <v>0</v>
      </c>
      <c r="V24">
        <f>IF(AND(SUM(VLOOKUP($A24,test!$A$3:$F$32,2,FALSE),VLOOKUP(V$1,test!$A$3:$F$32,2,FALSE))&lt;test!$K$16,$A24&lt;&gt;V$1,feasible_mat!V24=1),SUM(VLOOKUP($A24,test!$A$3:$F$32,2,FALSE),VLOOKUP(V$1,test!$A$3:$F$32,2,FALSE)),0)</f>
        <v>0</v>
      </c>
      <c r="W24">
        <f>IF(AND(SUM(VLOOKUP($A24,test!$A$3:$F$32,2,FALSE),VLOOKUP(W$1,test!$A$3:$F$32,2,FALSE))&lt;test!$K$16,$A24&lt;&gt;W$1,feasible_mat!W24=1),SUM(VLOOKUP($A24,test!$A$3:$F$32,2,FALSE),VLOOKUP(W$1,test!$A$3:$F$32,2,FALSE)),0)</f>
        <v>0</v>
      </c>
      <c r="X24">
        <f>IF(AND(SUM(VLOOKUP($A24,test!$A$3:$F$32,2,FALSE),VLOOKUP(X$1,test!$A$3:$F$32,2,FALSE))&lt;test!$K$16,$A24&lt;&gt;X$1,feasible_mat!X24=1),SUM(VLOOKUP($A24,test!$A$3:$F$32,2,FALSE),VLOOKUP(X$1,test!$A$3:$F$32,2,FALSE)),0)</f>
        <v>0</v>
      </c>
      <c r="Y24">
        <f>IF(AND(SUM(VLOOKUP($A24,test!$A$3:$F$32,2,FALSE),VLOOKUP(Y$1,test!$A$3:$F$32,2,FALSE))&lt;test!$K$16,$A24&lt;&gt;Y$1,feasible_mat!Y24=1),SUM(VLOOKUP($A24,test!$A$3:$F$32,2,FALSE),VLOOKUP(Y$1,test!$A$3:$F$32,2,FALSE)),0)</f>
        <v>0</v>
      </c>
      <c r="Z24">
        <f>IF(AND(SUM(VLOOKUP($A24,test!$A$3:$F$32,2,FALSE),VLOOKUP(Z$1,test!$A$3:$F$32,2,FALSE))&lt;test!$K$16,$A24&lt;&gt;Z$1,feasible_mat!Z24=1),SUM(VLOOKUP($A24,test!$A$3:$F$32,2,FALSE),VLOOKUP(Z$1,test!$A$3:$F$32,2,FALSE)),0)</f>
        <v>0</v>
      </c>
      <c r="AA24">
        <f>IF(AND(SUM(VLOOKUP($A24,test!$A$3:$F$32,2,FALSE),VLOOKUP(AA$1,test!$A$3:$F$32,2,FALSE))&lt;test!$K$16,$A24&lt;&gt;AA$1,feasible_mat!AA24=1),SUM(VLOOKUP($A24,test!$A$3:$F$32,2,FALSE),VLOOKUP(AA$1,test!$A$3:$F$32,2,FALSE)),0)</f>
        <v>0</v>
      </c>
      <c r="AB24">
        <f>IF(AND(SUM(VLOOKUP($A24,test!$A$3:$F$32,2,FALSE),VLOOKUP(AB$1,test!$A$3:$F$32,2,FALSE))&lt;test!$K$16,$A24&lt;&gt;AB$1,feasible_mat!AB24=1),SUM(VLOOKUP($A24,test!$A$3:$F$32,2,FALSE),VLOOKUP(AB$1,test!$A$3:$F$32,2,FALSE)),0)</f>
        <v>0</v>
      </c>
      <c r="AC24">
        <f>IF(AND(SUM(VLOOKUP($A24,test!$A$3:$F$32,2,FALSE),VLOOKUP(AC$1,test!$A$3:$F$32,2,FALSE))&lt;test!$K$16,$A24&lt;&gt;AC$1,feasible_mat!AC24=1),SUM(VLOOKUP($A24,test!$A$3:$F$32,2,FALSE),VLOOKUP(AC$1,test!$A$3:$F$32,2,FALSE)),0)</f>
        <v>0</v>
      </c>
      <c r="AD24">
        <f>IF(AND(SUM(VLOOKUP($A24,test!$A$3:$F$32,2,FALSE),VLOOKUP(AD$1,test!$A$3:$F$32,2,FALSE))&lt;test!$K$16,$A24&lt;&gt;AD$1,feasible_mat!AD24=1),SUM(VLOOKUP($A24,test!$A$3:$F$32,2,FALSE),VLOOKUP(AD$1,test!$A$3:$F$32,2,FALSE)),0)</f>
        <v>0</v>
      </c>
      <c r="AE24">
        <f>IF(AND(SUM(VLOOKUP($A24,test!$A$3:$F$32,2,FALSE),VLOOKUP(AE$1,test!$A$3:$F$32,2,FALSE))&lt;test!$K$16,$A24&lt;&gt;AE$1,feasible_mat!AE24=1),SUM(VLOOKUP($A24,test!$A$3:$F$32,2,FALSE),VLOOKUP(AE$1,test!$A$3:$F$32,2,FALSE)),0)</f>
        <v>0</v>
      </c>
      <c r="AF24">
        <f>IF(AND(SUM(VLOOKUP($A24,test!$A$3:$F$32,2,FALSE),VLOOKUP(AF$1,test!$A$3:$F$32,2,FALSE))&lt;test!$K$16,$A24&lt;&gt;AF$1,feasible_mat!AF24=1),SUM(VLOOKUP($A24,test!$A$3:$F$32,2,FALSE),VLOOKUP(AF$1,test!$A$3:$F$32,2,FALSE)),0)</f>
        <v>0</v>
      </c>
      <c r="AG24">
        <v>60</v>
      </c>
      <c r="AH24">
        <v>75</v>
      </c>
      <c r="AI24">
        <v>70</v>
      </c>
    </row>
    <row r="25" spans="1:35" x14ac:dyDescent="0.25">
      <c r="A25" t="s">
        <v>34</v>
      </c>
      <c r="B25">
        <v>0</v>
      </c>
      <c r="C25">
        <f>IF(AND(SUM(VLOOKUP($A25,test!$A$3:$F$32,2,FALSE),VLOOKUP(C$1,test!$A$3:$F$32,2,FALSE))&lt;test!$K$16,$A25&lt;&gt;C$1,feasible_mat!C25=1),SUM(VLOOKUP($A25,test!$A$3:$F$32,2,FALSE),VLOOKUP(C$1,test!$A$3:$F$32,2,FALSE)),0)</f>
        <v>0</v>
      </c>
      <c r="D25">
        <f>IF(AND(SUM(VLOOKUP($A25,test!$A$3:$F$32,2,FALSE),VLOOKUP(D$1,test!$A$3:$F$32,2,FALSE))&lt;test!$K$16,$A25&lt;&gt;D$1,feasible_mat!D25=1),SUM(VLOOKUP($A25,test!$A$3:$F$32,2,FALSE),VLOOKUP(D$1,test!$A$3:$F$32,2,FALSE)),0)</f>
        <v>275</v>
      </c>
      <c r="E25">
        <f>IF(AND(SUM(VLOOKUP($A25,test!$A$3:$F$32,2,FALSE),VLOOKUP(E$1,test!$A$3:$F$32,2,FALSE))&lt;test!$K$16,$A25&lt;&gt;E$1,feasible_mat!E25=1),SUM(VLOOKUP($A25,test!$A$3:$F$32,2,FALSE),VLOOKUP(E$1,test!$A$3:$F$32,2,FALSE)),0)</f>
        <v>275</v>
      </c>
      <c r="F25">
        <f>IF(AND(SUM(VLOOKUP($A25,test!$A$3:$F$32,2,FALSE),VLOOKUP(F$1,test!$A$3:$F$32,2,FALSE))&lt;test!$K$16,$A25&lt;&gt;F$1,feasible_mat!F25=1),SUM(VLOOKUP($A25,test!$A$3:$F$32,2,FALSE),VLOOKUP(F$1,test!$A$3:$F$32,2,FALSE)),0)</f>
        <v>275</v>
      </c>
      <c r="G25">
        <f>IF(AND(SUM(VLOOKUP($A25,test!$A$3:$F$32,2,FALSE),VLOOKUP(G$1,test!$A$3:$F$32,2,FALSE))&lt;test!$K$16,$A25&lt;&gt;G$1,feasible_mat!G25=1),SUM(VLOOKUP($A25,test!$A$3:$F$32,2,FALSE),VLOOKUP(G$1,test!$A$3:$F$32,2,FALSE)),0)</f>
        <v>275</v>
      </c>
      <c r="H25">
        <f>IF(AND(SUM(VLOOKUP($A25,test!$A$3:$F$32,2,FALSE),VLOOKUP(H$1,test!$A$3:$F$32,2,FALSE))&lt;test!$K$16,$A25&lt;&gt;H$1,feasible_mat!H25=1),SUM(VLOOKUP($A25,test!$A$3:$F$32,2,FALSE),VLOOKUP(H$1,test!$A$3:$F$32,2,FALSE)),0)</f>
        <v>275</v>
      </c>
      <c r="I25">
        <f>IF(AND(SUM(VLOOKUP($A25,test!$A$3:$F$32,2,FALSE),VLOOKUP(I$1,test!$A$3:$F$32,2,FALSE))&lt;test!$K$16,$A25&lt;&gt;I$1,feasible_mat!I25=1),SUM(VLOOKUP($A25,test!$A$3:$F$32,2,FALSE),VLOOKUP(I$1,test!$A$3:$F$32,2,FALSE)),0)</f>
        <v>275</v>
      </c>
      <c r="J25">
        <f>IF(AND(SUM(VLOOKUP($A25,test!$A$3:$F$32,2,FALSE),VLOOKUP(J$1,test!$A$3:$F$32,2,FALSE))&lt;test!$K$16,$A25&lt;&gt;J$1,feasible_mat!J25=1),SUM(VLOOKUP($A25,test!$A$3:$F$32,2,FALSE),VLOOKUP(J$1,test!$A$3:$F$32,2,FALSE)),0)</f>
        <v>275</v>
      </c>
      <c r="K25">
        <f>IF(AND(SUM(VLOOKUP($A25,test!$A$3:$F$32,2,FALSE),VLOOKUP(K$1,test!$A$3:$F$32,2,FALSE))&lt;test!$K$16,$A25&lt;&gt;K$1,feasible_mat!K25=1),SUM(VLOOKUP($A25,test!$A$3:$F$32,2,FALSE),VLOOKUP(K$1,test!$A$3:$F$32,2,FALSE)),0)</f>
        <v>0</v>
      </c>
      <c r="L25">
        <f>IF(AND(SUM(VLOOKUP($A25,test!$A$3:$F$32,2,FALSE),VLOOKUP(L$1,test!$A$3:$F$32,2,FALSE))&lt;test!$K$16,$A25&lt;&gt;L$1,feasible_mat!L25=1),SUM(VLOOKUP($A25,test!$A$3:$F$32,2,FALSE),VLOOKUP(L$1,test!$A$3:$F$32,2,FALSE)),0)</f>
        <v>0</v>
      </c>
      <c r="M25">
        <f>IF(AND(SUM(VLOOKUP($A25,test!$A$3:$F$32,2,FALSE),VLOOKUP(M$1,test!$A$3:$F$32,2,FALSE))&lt;test!$K$16,$A25&lt;&gt;M$1,feasible_mat!M25=1),SUM(VLOOKUP($A25,test!$A$3:$F$32,2,FALSE),VLOOKUP(M$1,test!$A$3:$F$32,2,FALSE)),0)</f>
        <v>280</v>
      </c>
      <c r="N25">
        <f>IF(AND(SUM(VLOOKUP($A25,test!$A$3:$F$32,2,FALSE),VLOOKUP(N$1,test!$A$3:$F$32,2,FALSE))&lt;test!$K$16,$A25&lt;&gt;N$1,feasible_mat!N25=1),SUM(VLOOKUP($A25,test!$A$3:$F$32,2,FALSE),VLOOKUP(N$1,test!$A$3:$F$32,2,FALSE)),0)</f>
        <v>280</v>
      </c>
      <c r="O25">
        <f>IF(AND(SUM(VLOOKUP($A25,test!$A$3:$F$32,2,FALSE),VLOOKUP(O$1,test!$A$3:$F$32,2,FALSE))&lt;test!$K$16,$A25&lt;&gt;O$1,feasible_mat!O25=1),SUM(VLOOKUP($A25,test!$A$3:$F$32,2,FALSE),VLOOKUP(O$1,test!$A$3:$F$32,2,FALSE)),0)</f>
        <v>280</v>
      </c>
      <c r="P25">
        <f>IF(AND(SUM(VLOOKUP($A25,test!$A$3:$F$32,2,FALSE),VLOOKUP(P$1,test!$A$3:$F$32,2,FALSE))&lt;test!$K$16,$A25&lt;&gt;P$1,feasible_mat!P25=1),SUM(VLOOKUP($A25,test!$A$3:$F$32,2,FALSE),VLOOKUP(P$1,test!$A$3:$F$32,2,FALSE)),0)</f>
        <v>0</v>
      </c>
      <c r="Q25">
        <f>IF(AND(SUM(VLOOKUP($A25,test!$A$3:$F$32,2,FALSE),VLOOKUP(Q$1,test!$A$3:$F$32,2,FALSE))&lt;test!$K$16,$A25&lt;&gt;Q$1,feasible_mat!Q25=1),SUM(VLOOKUP($A25,test!$A$3:$F$32,2,FALSE),VLOOKUP(Q$1,test!$A$3:$F$32,2,FALSE)),0)</f>
        <v>0</v>
      </c>
      <c r="R25">
        <f>IF(AND(SUM(VLOOKUP($A25,test!$A$3:$F$32,2,FALSE),VLOOKUP(R$1,test!$A$3:$F$32,2,FALSE))&lt;test!$K$16,$A25&lt;&gt;R$1,feasible_mat!R25=1),SUM(VLOOKUP($A25,test!$A$3:$F$32,2,FALSE),VLOOKUP(R$1,test!$A$3:$F$32,2,FALSE)),0)</f>
        <v>0</v>
      </c>
      <c r="S25">
        <f>IF(AND(SUM(VLOOKUP($A25,test!$A$3:$F$32,2,FALSE),VLOOKUP(S$1,test!$A$3:$F$32,2,FALSE))&lt;test!$K$16,$A25&lt;&gt;S$1,feasible_mat!S25=1),SUM(VLOOKUP($A25,test!$A$3:$F$32,2,FALSE),VLOOKUP(S$1,test!$A$3:$F$32,2,FALSE)),0)</f>
        <v>0</v>
      </c>
      <c r="T25">
        <f>IF(AND(SUM(VLOOKUP($A25,test!$A$3:$F$32,2,FALSE),VLOOKUP(T$1,test!$A$3:$F$32,2,FALSE))&lt;test!$K$16,$A25&lt;&gt;T$1,feasible_mat!T25=1),SUM(VLOOKUP($A25,test!$A$3:$F$32,2,FALSE),VLOOKUP(T$1,test!$A$3:$F$32,2,FALSE)),0)</f>
        <v>0</v>
      </c>
      <c r="U25">
        <f>IF(AND(SUM(VLOOKUP($A25,test!$A$3:$F$32,2,FALSE),VLOOKUP(U$1,test!$A$3:$F$32,2,FALSE))&lt;test!$K$16,$A25&lt;&gt;U$1,feasible_mat!U25=1),SUM(VLOOKUP($A25,test!$A$3:$F$32,2,FALSE),VLOOKUP(U$1,test!$A$3:$F$32,2,FALSE)),0)</f>
        <v>0</v>
      </c>
      <c r="V25">
        <f>IF(AND(SUM(VLOOKUP($A25,test!$A$3:$F$32,2,FALSE),VLOOKUP(V$1,test!$A$3:$F$32,2,FALSE))&lt;test!$K$16,$A25&lt;&gt;V$1,feasible_mat!V25=1),SUM(VLOOKUP($A25,test!$A$3:$F$32,2,FALSE),VLOOKUP(V$1,test!$A$3:$F$32,2,FALSE)),0)</f>
        <v>0</v>
      </c>
      <c r="W25">
        <f>IF(AND(SUM(VLOOKUP($A25,test!$A$3:$F$32,2,FALSE),VLOOKUP(W$1,test!$A$3:$F$32,2,FALSE))&lt;test!$K$16,$A25&lt;&gt;W$1,feasible_mat!W25=1),SUM(VLOOKUP($A25,test!$A$3:$F$32,2,FALSE),VLOOKUP(W$1,test!$A$3:$F$32,2,FALSE)),0)</f>
        <v>0</v>
      </c>
      <c r="X25">
        <f>IF(AND(SUM(VLOOKUP($A25,test!$A$3:$F$32,2,FALSE),VLOOKUP(X$1,test!$A$3:$F$32,2,FALSE))&lt;test!$K$16,$A25&lt;&gt;X$1,feasible_mat!X25=1),SUM(VLOOKUP($A25,test!$A$3:$F$32,2,FALSE),VLOOKUP(X$1,test!$A$3:$F$32,2,FALSE)),0)</f>
        <v>0</v>
      </c>
      <c r="Y25">
        <f>IF(AND(SUM(VLOOKUP($A25,test!$A$3:$F$32,2,FALSE),VLOOKUP(Y$1,test!$A$3:$F$32,2,FALSE))&lt;test!$K$16,$A25&lt;&gt;Y$1,feasible_mat!Y25=1),SUM(VLOOKUP($A25,test!$A$3:$F$32,2,FALSE),VLOOKUP(Y$1,test!$A$3:$F$32,2,FALSE)),0)</f>
        <v>0</v>
      </c>
      <c r="Z25">
        <f>IF(AND(SUM(VLOOKUP($A25,test!$A$3:$F$32,2,FALSE),VLOOKUP(Z$1,test!$A$3:$F$32,2,FALSE))&lt;test!$K$16,$A25&lt;&gt;Z$1,feasible_mat!Z25=1),SUM(VLOOKUP($A25,test!$A$3:$F$32,2,FALSE),VLOOKUP(Z$1,test!$A$3:$F$32,2,FALSE)),0)</f>
        <v>0</v>
      </c>
      <c r="AA25">
        <f>IF(AND(SUM(VLOOKUP($A25,test!$A$3:$F$32,2,FALSE),VLOOKUP(AA$1,test!$A$3:$F$32,2,FALSE))&lt;test!$K$16,$A25&lt;&gt;AA$1,feasible_mat!AA25=1),SUM(VLOOKUP($A25,test!$A$3:$F$32,2,FALSE),VLOOKUP(AA$1,test!$A$3:$F$32,2,FALSE)),0)</f>
        <v>0</v>
      </c>
      <c r="AB25">
        <f>IF(AND(SUM(VLOOKUP($A25,test!$A$3:$F$32,2,FALSE),VLOOKUP(AB$1,test!$A$3:$F$32,2,FALSE))&lt;test!$K$16,$A25&lt;&gt;AB$1,feasible_mat!AB25=1),SUM(VLOOKUP($A25,test!$A$3:$F$32,2,FALSE),VLOOKUP(AB$1,test!$A$3:$F$32,2,FALSE)),0)</f>
        <v>0</v>
      </c>
      <c r="AC25">
        <f>IF(AND(SUM(VLOOKUP($A25,test!$A$3:$F$32,2,FALSE),VLOOKUP(AC$1,test!$A$3:$F$32,2,FALSE))&lt;test!$K$16,$A25&lt;&gt;AC$1,feasible_mat!AC25=1),SUM(VLOOKUP($A25,test!$A$3:$F$32,2,FALSE),VLOOKUP(AC$1,test!$A$3:$F$32,2,FALSE)),0)</f>
        <v>0</v>
      </c>
      <c r="AD25">
        <f>IF(AND(SUM(VLOOKUP($A25,test!$A$3:$F$32,2,FALSE),VLOOKUP(AD$1,test!$A$3:$F$32,2,FALSE))&lt;test!$K$16,$A25&lt;&gt;AD$1,feasible_mat!AD25=1),SUM(VLOOKUP($A25,test!$A$3:$F$32,2,FALSE),VLOOKUP(AD$1,test!$A$3:$F$32,2,FALSE)),0)</f>
        <v>0</v>
      </c>
      <c r="AE25">
        <f>IF(AND(SUM(VLOOKUP($A25,test!$A$3:$F$32,2,FALSE),VLOOKUP(AE$1,test!$A$3:$F$32,2,FALSE))&lt;test!$K$16,$A25&lt;&gt;AE$1,feasible_mat!AE25=1),SUM(VLOOKUP($A25,test!$A$3:$F$32,2,FALSE),VLOOKUP(AE$1,test!$A$3:$F$32,2,FALSE)),0)</f>
        <v>0</v>
      </c>
      <c r="AF25">
        <f>IF(AND(SUM(VLOOKUP($A25,test!$A$3:$F$32,2,FALSE),VLOOKUP(AF$1,test!$A$3:$F$32,2,FALSE))&lt;test!$K$16,$A25&lt;&gt;AF$1,feasible_mat!AF25=1),SUM(VLOOKUP($A25,test!$A$3:$F$32,2,FALSE),VLOOKUP(AF$1,test!$A$3:$F$32,2,FALSE)),0)</f>
        <v>0</v>
      </c>
      <c r="AG25">
        <v>60</v>
      </c>
      <c r="AH25">
        <v>75</v>
      </c>
      <c r="AI25">
        <v>70</v>
      </c>
    </row>
    <row r="26" spans="1:35" x14ac:dyDescent="0.25">
      <c r="A26" t="s">
        <v>35</v>
      </c>
      <c r="B26">
        <v>0</v>
      </c>
      <c r="C26">
        <f>IF(AND(SUM(VLOOKUP($A26,test!$A$3:$F$32,2,FALSE),VLOOKUP(C$1,test!$A$3:$F$32,2,FALSE))&lt;test!$K$16,$A26&lt;&gt;C$1,feasible_mat!C26=1),SUM(VLOOKUP($A26,test!$A$3:$F$32,2,FALSE),VLOOKUP(C$1,test!$A$3:$F$32,2,FALSE)),0)</f>
        <v>0</v>
      </c>
      <c r="D26">
        <f>IF(AND(SUM(VLOOKUP($A26,test!$A$3:$F$32,2,FALSE),VLOOKUP(D$1,test!$A$3:$F$32,2,FALSE))&lt;test!$K$16,$A26&lt;&gt;D$1,feasible_mat!D26=1),SUM(VLOOKUP($A26,test!$A$3:$F$32,2,FALSE),VLOOKUP(D$1,test!$A$3:$F$32,2,FALSE)),0)</f>
        <v>0</v>
      </c>
      <c r="E26">
        <f>IF(AND(SUM(VLOOKUP($A26,test!$A$3:$F$32,2,FALSE),VLOOKUP(E$1,test!$A$3:$F$32,2,FALSE))&lt;test!$K$16,$A26&lt;&gt;E$1,feasible_mat!E26=1),SUM(VLOOKUP($A26,test!$A$3:$F$32,2,FALSE),VLOOKUP(E$1,test!$A$3:$F$32,2,FALSE)),0)</f>
        <v>0</v>
      </c>
      <c r="F26">
        <f>IF(AND(SUM(VLOOKUP($A26,test!$A$3:$F$32,2,FALSE),VLOOKUP(F$1,test!$A$3:$F$32,2,FALSE))&lt;test!$K$16,$A26&lt;&gt;F$1,feasible_mat!F26=1),SUM(VLOOKUP($A26,test!$A$3:$F$32,2,FALSE),VLOOKUP(F$1,test!$A$3:$F$32,2,FALSE)),0)</f>
        <v>275</v>
      </c>
      <c r="G26">
        <f>IF(AND(SUM(VLOOKUP($A26,test!$A$3:$F$32,2,FALSE),VLOOKUP(G$1,test!$A$3:$F$32,2,FALSE))&lt;test!$K$16,$A26&lt;&gt;G$1,feasible_mat!G26=1),SUM(VLOOKUP($A26,test!$A$3:$F$32,2,FALSE),VLOOKUP(G$1,test!$A$3:$F$32,2,FALSE)),0)</f>
        <v>275</v>
      </c>
      <c r="H26">
        <f>IF(AND(SUM(VLOOKUP($A26,test!$A$3:$F$32,2,FALSE),VLOOKUP(H$1,test!$A$3:$F$32,2,FALSE))&lt;test!$K$16,$A26&lt;&gt;H$1,feasible_mat!H26=1),SUM(VLOOKUP($A26,test!$A$3:$F$32,2,FALSE),VLOOKUP(H$1,test!$A$3:$F$32,2,FALSE)),0)</f>
        <v>275</v>
      </c>
      <c r="I26">
        <f>IF(AND(SUM(VLOOKUP($A26,test!$A$3:$F$32,2,FALSE),VLOOKUP(I$1,test!$A$3:$F$32,2,FALSE))&lt;test!$K$16,$A26&lt;&gt;I$1,feasible_mat!I26=1),SUM(VLOOKUP($A26,test!$A$3:$F$32,2,FALSE),VLOOKUP(I$1,test!$A$3:$F$32,2,FALSE)),0)</f>
        <v>275</v>
      </c>
      <c r="J26">
        <f>IF(AND(SUM(VLOOKUP($A26,test!$A$3:$F$32,2,FALSE),VLOOKUP(J$1,test!$A$3:$F$32,2,FALSE))&lt;test!$K$16,$A26&lt;&gt;J$1,feasible_mat!J26=1),SUM(VLOOKUP($A26,test!$A$3:$F$32,2,FALSE),VLOOKUP(J$1,test!$A$3:$F$32,2,FALSE)),0)</f>
        <v>275</v>
      </c>
      <c r="K26">
        <f>IF(AND(SUM(VLOOKUP($A26,test!$A$3:$F$32,2,FALSE),VLOOKUP(K$1,test!$A$3:$F$32,2,FALSE))&lt;test!$K$16,$A26&lt;&gt;K$1,feasible_mat!K26=1),SUM(VLOOKUP($A26,test!$A$3:$F$32,2,FALSE),VLOOKUP(K$1,test!$A$3:$F$32,2,FALSE)),0)</f>
        <v>0</v>
      </c>
      <c r="L26">
        <f>IF(AND(SUM(VLOOKUP($A26,test!$A$3:$F$32,2,FALSE),VLOOKUP(L$1,test!$A$3:$F$32,2,FALSE))&lt;test!$K$16,$A26&lt;&gt;L$1,feasible_mat!L26=1),SUM(VLOOKUP($A26,test!$A$3:$F$32,2,FALSE),VLOOKUP(L$1,test!$A$3:$F$32,2,FALSE)),0)</f>
        <v>0</v>
      </c>
      <c r="M26">
        <f>IF(AND(SUM(VLOOKUP($A26,test!$A$3:$F$32,2,FALSE),VLOOKUP(M$1,test!$A$3:$F$32,2,FALSE))&lt;test!$K$16,$A26&lt;&gt;M$1,feasible_mat!M26=1),SUM(VLOOKUP($A26,test!$A$3:$F$32,2,FALSE),VLOOKUP(M$1,test!$A$3:$F$32,2,FALSE)),0)</f>
        <v>0</v>
      </c>
      <c r="N26">
        <f>IF(AND(SUM(VLOOKUP($A26,test!$A$3:$F$32,2,FALSE),VLOOKUP(N$1,test!$A$3:$F$32,2,FALSE))&lt;test!$K$16,$A26&lt;&gt;N$1,feasible_mat!N26=1),SUM(VLOOKUP($A26,test!$A$3:$F$32,2,FALSE),VLOOKUP(N$1,test!$A$3:$F$32,2,FALSE)),0)</f>
        <v>280</v>
      </c>
      <c r="O26">
        <f>IF(AND(SUM(VLOOKUP($A26,test!$A$3:$F$32,2,FALSE),VLOOKUP(O$1,test!$A$3:$F$32,2,FALSE))&lt;test!$K$16,$A26&lt;&gt;O$1,feasible_mat!O26=1),SUM(VLOOKUP($A26,test!$A$3:$F$32,2,FALSE),VLOOKUP(O$1,test!$A$3:$F$32,2,FALSE)),0)</f>
        <v>280</v>
      </c>
      <c r="P26">
        <f>IF(AND(SUM(VLOOKUP($A26,test!$A$3:$F$32,2,FALSE),VLOOKUP(P$1,test!$A$3:$F$32,2,FALSE))&lt;test!$K$16,$A26&lt;&gt;P$1,feasible_mat!P26=1),SUM(VLOOKUP($A26,test!$A$3:$F$32,2,FALSE),VLOOKUP(P$1,test!$A$3:$F$32,2,FALSE)),0)</f>
        <v>0</v>
      </c>
      <c r="Q26">
        <f>IF(AND(SUM(VLOOKUP($A26,test!$A$3:$F$32,2,FALSE),VLOOKUP(Q$1,test!$A$3:$F$32,2,FALSE))&lt;test!$K$16,$A26&lt;&gt;Q$1,feasible_mat!Q26=1),SUM(VLOOKUP($A26,test!$A$3:$F$32,2,FALSE),VLOOKUP(Q$1,test!$A$3:$F$32,2,FALSE)),0)</f>
        <v>0</v>
      </c>
      <c r="R26">
        <f>IF(AND(SUM(VLOOKUP($A26,test!$A$3:$F$32,2,FALSE),VLOOKUP(R$1,test!$A$3:$F$32,2,FALSE))&lt;test!$K$16,$A26&lt;&gt;R$1,feasible_mat!R26=1),SUM(VLOOKUP($A26,test!$A$3:$F$32,2,FALSE),VLOOKUP(R$1,test!$A$3:$F$32,2,FALSE)),0)</f>
        <v>0</v>
      </c>
      <c r="S26">
        <f>IF(AND(SUM(VLOOKUP($A26,test!$A$3:$F$32,2,FALSE),VLOOKUP(S$1,test!$A$3:$F$32,2,FALSE))&lt;test!$K$16,$A26&lt;&gt;S$1,feasible_mat!S26=1),SUM(VLOOKUP($A26,test!$A$3:$F$32,2,FALSE),VLOOKUP(S$1,test!$A$3:$F$32,2,FALSE)),0)</f>
        <v>0</v>
      </c>
      <c r="T26">
        <f>IF(AND(SUM(VLOOKUP($A26,test!$A$3:$F$32,2,FALSE),VLOOKUP(T$1,test!$A$3:$F$32,2,FALSE))&lt;test!$K$16,$A26&lt;&gt;T$1,feasible_mat!T26=1),SUM(VLOOKUP($A26,test!$A$3:$F$32,2,FALSE),VLOOKUP(T$1,test!$A$3:$F$32,2,FALSE)),0)</f>
        <v>0</v>
      </c>
      <c r="U26">
        <f>IF(AND(SUM(VLOOKUP($A26,test!$A$3:$F$32,2,FALSE),VLOOKUP(U$1,test!$A$3:$F$32,2,FALSE))&lt;test!$K$16,$A26&lt;&gt;U$1,feasible_mat!U26=1),SUM(VLOOKUP($A26,test!$A$3:$F$32,2,FALSE),VLOOKUP(U$1,test!$A$3:$F$32,2,FALSE)),0)</f>
        <v>0</v>
      </c>
      <c r="V26">
        <f>IF(AND(SUM(VLOOKUP($A26,test!$A$3:$F$32,2,FALSE),VLOOKUP(V$1,test!$A$3:$F$32,2,FALSE))&lt;test!$K$16,$A26&lt;&gt;V$1,feasible_mat!V26=1),SUM(VLOOKUP($A26,test!$A$3:$F$32,2,FALSE),VLOOKUP(V$1,test!$A$3:$F$32,2,FALSE)),0)</f>
        <v>0</v>
      </c>
      <c r="W26">
        <f>IF(AND(SUM(VLOOKUP($A26,test!$A$3:$F$32,2,FALSE),VLOOKUP(W$1,test!$A$3:$F$32,2,FALSE))&lt;test!$K$16,$A26&lt;&gt;W$1,feasible_mat!W26=1),SUM(VLOOKUP($A26,test!$A$3:$F$32,2,FALSE),VLOOKUP(W$1,test!$A$3:$F$32,2,FALSE)),0)</f>
        <v>0</v>
      </c>
      <c r="X26">
        <f>IF(AND(SUM(VLOOKUP($A26,test!$A$3:$F$32,2,FALSE),VLOOKUP(X$1,test!$A$3:$F$32,2,FALSE))&lt;test!$K$16,$A26&lt;&gt;X$1,feasible_mat!X26=1),SUM(VLOOKUP($A26,test!$A$3:$F$32,2,FALSE),VLOOKUP(X$1,test!$A$3:$F$32,2,FALSE)),0)</f>
        <v>0</v>
      </c>
      <c r="Y26">
        <f>IF(AND(SUM(VLOOKUP($A26,test!$A$3:$F$32,2,FALSE),VLOOKUP(Y$1,test!$A$3:$F$32,2,FALSE))&lt;test!$K$16,$A26&lt;&gt;Y$1,feasible_mat!Y26=1),SUM(VLOOKUP($A26,test!$A$3:$F$32,2,FALSE),VLOOKUP(Y$1,test!$A$3:$F$32,2,FALSE)),0)</f>
        <v>0</v>
      </c>
      <c r="Z26">
        <f>IF(AND(SUM(VLOOKUP($A26,test!$A$3:$F$32,2,FALSE),VLOOKUP(Z$1,test!$A$3:$F$32,2,FALSE))&lt;test!$K$16,$A26&lt;&gt;Z$1,feasible_mat!Z26=1),SUM(VLOOKUP($A26,test!$A$3:$F$32,2,FALSE),VLOOKUP(Z$1,test!$A$3:$F$32,2,FALSE)),0)</f>
        <v>0</v>
      </c>
      <c r="AA26">
        <f>IF(AND(SUM(VLOOKUP($A26,test!$A$3:$F$32,2,FALSE),VLOOKUP(AA$1,test!$A$3:$F$32,2,FALSE))&lt;test!$K$16,$A26&lt;&gt;AA$1,feasible_mat!AA26=1),SUM(VLOOKUP($A26,test!$A$3:$F$32,2,FALSE),VLOOKUP(AA$1,test!$A$3:$F$32,2,FALSE)),0)</f>
        <v>0</v>
      </c>
      <c r="AB26">
        <f>IF(AND(SUM(VLOOKUP($A26,test!$A$3:$F$32,2,FALSE),VLOOKUP(AB$1,test!$A$3:$F$32,2,FALSE))&lt;test!$K$16,$A26&lt;&gt;AB$1,feasible_mat!AB26=1),SUM(VLOOKUP($A26,test!$A$3:$F$32,2,FALSE),VLOOKUP(AB$1,test!$A$3:$F$32,2,FALSE)),0)</f>
        <v>0</v>
      </c>
      <c r="AC26">
        <f>IF(AND(SUM(VLOOKUP($A26,test!$A$3:$F$32,2,FALSE),VLOOKUP(AC$1,test!$A$3:$F$32,2,FALSE))&lt;test!$K$16,$A26&lt;&gt;AC$1,feasible_mat!AC26=1),SUM(VLOOKUP($A26,test!$A$3:$F$32,2,FALSE),VLOOKUP(AC$1,test!$A$3:$F$32,2,FALSE)),0)</f>
        <v>0</v>
      </c>
      <c r="AD26">
        <f>IF(AND(SUM(VLOOKUP($A26,test!$A$3:$F$32,2,FALSE),VLOOKUP(AD$1,test!$A$3:$F$32,2,FALSE))&lt;test!$K$16,$A26&lt;&gt;AD$1,feasible_mat!AD26=1),SUM(VLOOKUP($A26,test!$A$3:$F$32,2,FALSE),VLOOKUP(AD$1,test!$A$3:$F$32,2,FALSE)),0)</f>
        <v>0</v>
      </c>
      <c r="AE26">
        <f>IF(AND(SUM(VLOOKUP($A26,test!$A$3:$F$32,2,FALSE),VLOOKUP(AE$1,test!$A$3:$F$32,2,FALSE))&lt;test!$K$16,$A26&lt;&gt;AE$1,feasible_mat!AE26=1),SUM(VLOOKUP($A26,test!$A$3:$F$32,2,FALSE),VLOOKUP(AE$1,test!$A$3:$F$32,2,FALSE)),0)</f>
        <v>0</v>
      </c>
      <c r="AF26">
        <f>IF(AND(SUM(VLOOKUP($A26,test!$A$3:$F$32,2,FALSE),VLOOKUP(AF$1,test!$A$3:$F$32,2,FALSE))&lt;test!$K$16,$A26&lt;&gt;AF$1,feasible_mat!AF26=1),SUM(VLOOKUP($A26,test!$A$3:$F$32,2,FALSE),VLOOKUP(AF$1,test!$A$3:$F$32,2,FALSE)),0)</f>
        <v>0</v>
      </c>
      <c r="AG26">
        <v>60</v>
      </c>
      <c r="AH26">
        <v>75</v>
      </c>
      <c r="AI26">
        <v>70</v>
      </c>
    </row>
    <row r="27" spans="1:35" x14ac:dyDescent="0.25">
      <c r="A27" t="s">
        <v>36</v>
      </c>
      <c r="B27">
        <v>0</v>
      </c>
      <c r="C27">
        <f>IF(AND(SUM(VLOOKUP($A27,test!$A$3:$F$32,2,FALSE),VLOOKUP(C$1,test!$A$3:$F$32,2,FALSE))&lt;test!$K$16,$A27&lt;&gt;C$1,feasible_mat!C27=1),SUM(VLOOKUP($A27,test!$A$3:$F$32,2,FALSE),VLOOKUP(C$1,test!$A$3:$F$32,2,FALSE)),0)</f>
        <v>0</v>
      </c>
      <c r="D27">
        <f>IF(AND(SUM(VLOOKUP($A27,test!$A$3:$F$32,2,FALSE),VLOOKUP(D$1,test!$A$3:$F$32,2,FALSE))&lt;test!$K$16,$A27&lt;&gt;D$1,feasible_mat!D27=1),SUM(VLOOKUP($A27,test!$A$3:$F$32,2,FALSE),VLOOKUP(D$1,test!$A$3:$F$32,2,FALSE)),0)</f>
        <v>0</v>
      </c>
      <c r="E27">
        <f>IF(AND(SUM(VLOOKUP($A27,test!$A$3:$F$32,2,FALSE),VLOOKUP(E$1,test!$A$3:$F$32,2,FALSE))&lt;test!$K$16,$A27&lt;&gt;E$1,feasible_mat!E27=1),SUM(VLOOKUP($A27,test!$A$3:$F$32,2,FALSE),VLOOKUP(E$1,test!$A$3:$F$32,2,FALSE)),0)</f>
        <v>0</v>
      </c>
      <c r="F27">
        <f>IF(AND(SUM(VLOOKUP($A27,test!$A$3:$F$32,2,FALSE),VLOOKUP(F$1,test!$A$3:$F$32,2,FALSE))&lt;test!$K$16,$A27&lt;&gt;F$1,feasible_mat!F27=1),SUM(VLOOKUP($A27,test!$A$3:$F$32,2,FALSE),VLOOKUP(F$1,test!$A$3:$F$32,2,FALSE)),0)</f>
        <v>0</v>
      </c>
      <c r="G27">
        <f>IF(AND(SUM(VLOOKUP($A27,test!$A$3:$F$32,2,FALSE),VLOOKUP(G$1,test!$A$3:$F$32,2,FALSE))&lt;test!$K$16,$A27&lt;&gt;G$1,feasible_mat!G27=1),SUM(VLOOKUP($A27,test!$A$3:$F$32,2,FALSE),VLOOKUP(G$1,test!$A$3:$F$32,2,FALSE)),0)</f>
        <v>0</v>
      </c>
      <c r="H27">
        <f>IF(AND(SUM(VLOOKUP($A27,test!$A$3:$F$32,2,FALSE),VLOOKUP(H$1,test!$A$3:$F$32,2,FALSE))&lt;test!$K$16,$A27&lt;&gt;H$1,feasible_mat!H27=1),SUM(VLOOKUP($A27,test!$A$3:$F$32,2,FALSE),VLOOKUP(H$1,test!$A$3:$F$32,2,FALSE)),0)</f>
        <v>275</v>
      </c>
      <c r="I27">
        <f>IF(AND(SUM(VLOOKUP($A27,test!$A$3:$F$32,2,FALSE),VLOOKUP(I$1,test!$A$3:$F$32,2,FALSE))&lt;test!$K$16,$A27&lt;&gt;I$1,feasible_mat!I27=1),SUM(VLOOKUP($A27,test!$A$3:$F$32,2,FALSE),VLOOKUP(I$1,test!$A$3:$F$32,2,FALSE)),0)</f>
        <v>275</v>
      </c>
      <c r="J27">
        <f>IF(AND(SUM(VLOOKUP($A27,test!$A$3:$F$32,2,FALSE),VLOOKUP(J$1,test!$A$3:$F$32,2,FALSE))&lt;test!$K$16,$A27&lt;&gt;J$1,feasible_mat!J27=1),SUM(VLOOKUP($A27,test!$A$3:$F$32,2,FALSE),VLOOKUP(J$1,test!$A$3:$F$32,2,FALSE)),0)</f>
        <v>275</v>
      </c>
      <c r="K27">
        <f>IF(AND(SUM(VLOOKUP($A27,test!$A$3:$F$32,2,FALSE),VLOOKUP(K$1,test!$A$3:$F$32,2,FALSE))&lt;test!$K$16,$A27&lt;&gt;K$1,feasible_mat!K27=1),SUM(VLOOKUP($A27,test!$A$3:$F$32,2,FALSE),VLOOKUP(K$1,test!$A$3:$F$32,2,FALSE)),0)</f>
        <v>0</v>
      </c>
      <c r="L27">
        <f>IF(AND(SUM(VLOOKUP($A27,test!$A$3:$F$32,2,FALSE),VLOOKUP(L$1,test!$A$3:$F$32,2,FALSE))&lt;test!$K$16,$A27&lt;&gt;L$1,feasible_mat!L27=1),SUM(VLOOKUP($A27,test!$A$3:$F$32,2,FALSE),VLOOKUP(L$1,test!$A$3:$F$32,2,FALSE)),0)</f>
        <v>0</v>
      </c>
      <c r="M27">
        <f>IF(AND(SUM(VLOOKUP($A27,test!$A$3:$F$32,2,FALSE),VLOOKUP(M$1,test!$A$3:$F$32,2,FALSE))&lt;test!$K$16,$A27&lt;&gt;M$1,feasible_mat!M27=1),SUM(VLOOKUP($A27,test!$A$3:$F$32,2,FALSE),VLOOKUP(M$1,test!$A$3:$F$32,2,FALSE)),0)</f>
        <v>0</v>
      </c>
      <c r="N27">
        <f>IF(AND(SUM(VLOOKUP($A27,test!$A$3:$F$32,2,FALSE),VLOOKUP(N$1,test!$A$3:$F$32,2,FALSE))&lt;test!$K$16,$A27&lt;&gt;N$1,feasible_mat!N27=1),SUM(VLOOKUP($A27,test!$A$3:$F$32,2,FALSE),VLOOKUP(N$1,test!$A$3:$F$32,2,FALSE)),0)</f>
        <v>280</v>
      </c>
      <c r="O27">
        <f>IF(AND(SUM(VLOOKUP($A27,test!$A$3:$F$32,2,FALSE),VLOOKUP(O$1,test!$A$3:$F$32,2,FALSE))&lt;test!$K$16,$A27&lt;&gt;O$1,feasible_mat!O27=1),SUM(VLOOKUP($A27,test!$A$3:$F$32,2,FALSE),VLOOKUP(O$1,test!$A$3:$F$32,2,FALSE)),0)</f>
        <v>280</v>
      </c>
      <c r="P27">
        <f>IF(AND(SUM(VLOOKUP($A27,test!$A$3:$F$32,2,FALSE),VLOOKUP(P$1,test!$A$3:$F$32,2,FALSE))&lt;test!$K$16,$A27&lt;&gt;P$1,feasible_mat!P27=1),SUM(VLOOKUP($A27,test!$A$3:$F$32,2,FALSE),VLOOKUP(P$1,test!$A$3:$F$32,2,FALSE)),0)</f>
        <v>0</v>
      </c>
      <c r="Q27">
        <f>IF(AND(SUM(VLOOKUP($A27,test!$A$3:$F$32,2,FALSE),VLOOKUP(Q$1,test!$A$3:$F$32,2,FALSE))&lt;test!$K$16,$A27&lt;&gt;Q$1,feasible_mat!Q27=1),SUM(VLOOKUP($A27,test!$A$3:$F$32,2,FALSE),VLOOKUP(Q$1,test!$A$3:$F$32,2,FALSE)),0)</f>
        <v>0</v>
      </c>
      <c r="R27">
        <f>IF(AND(SUM(VLOOKUP($A27,test!$A$3:$F$32,2,FALSE),VLOOKUP(R$1,test!$A$3:$F$32,2,FALSE))&lt;test!$K$16,$A27&lt;&gt;R$1,feasible_mat!R27=1),SUM(VLOOKUP($A27,test!$A$3:$F$32,2,FALSE),VLOOKUP(R$1,test!$A$3:$F$32,2,FALSE)),0)</f>
        <v>0</v>
      </c>
      <c r="S27">
        <f>IF(AND(SUM(VLOOKUP($A27,test!$A$3:$F$32,2,FALSE),VLOOKUP(S$1,test!$A$3:$F$32,2,FALSE))&lt;test!$K$16,$A27&lt;&gt;S$1,feasible_mat!S27=1),SUM(VLOOKUP($A27,test!$A$3:$F$32,2,FALSE),VLOOKUP(S$1,test!$A$3:$F$32,2,FALSE)),0)</f>
        <v>0</v>
      </c>
      <c r="T27">
        <f>IF(AND(SUM(VLOOKUP($A27,test!$A$3:$F$32,2,FALSE),VLOOKUP(T$1,test!$A$3:$F$32,2,FALSE))&lt;test!$K$16,$A27&lt;&gt;T$1,feasible_mat!T27=1),SUM(VLOOKUP($A27,test!$A$3:$F$32,2,FALSE),VLOOKUP(T$1,test!$A$3:$F$32,2,FALSE)),0)</f>
        <v>0</v>
      </c>
      <c r="U27">
        <f>IF(AND(SUM(VLOOKUP($A27,test!$A$3:$F$32,2,FALSE),VLOOKUP(U$1,test!$A$3:$F$32,2,FALSE))&lt;test!$K$16,$A27&lt;&gt;U$1,feasible_mat!U27=1),SUM(VLOOKUP($A27,test!$A$3:$F$32,2,FALSE),VLOOKUP(U$1,test!$A$3:$F$32,2,FALSE)),0)</f>
        <v>0</v>
      </c>
      <c r="V27">
        <f>IF(AND(SUM(VLOOKUP($A27,test!$A$3:$F$32,2,FALSE),VLOOKUP(V$1,test!$A$3:$F$32,2,FALSE))&lt;test!$K$16,$A27&lt;&gt;V$1,feasible_mat!V27=1),SUM(VLOOKUP($A27,test!$A$3:$F$32,2,FALSE),VLOOKUP(V$1,test!$A$3:$F$32,2,FALSE)),0)</f>
        <v>0</v>
      </c>
      <c r="W27">
        <f>IF(AND(SUM(VLOOKUP($A27,test!$A$3:$F$32,2,FALSE),VLOOKUP(W$1,test!$A$3:$F$32,2,FALSE))&lt;test!$K$16,$A27&lt;&gt;W$1,feasible_mat!W27=1),SUM(VLOOKUP($A27,test!$A$3:$F$32,2,FALSE),VLOOKUP(W$1,test!$A$3:$F$32,2,FALSE)),0)</f>
        <v>0</v>
      </c>
      <c r="X27">
        <f>IF(AND(SUM(VLOOKUP($A27,test!$A$3:$F$32,2,FALSE),VLOOKUP(X$1,test!$A$3:$F$32,2,FALSE))&lt;test!$K$16,$A27&lt;&gt;X$1,feasible_mat!X27=1),SUM(VLOOKUP($A27,test!$A$3:$F$32,2,FALSE),VLOOKUP(X$1,test!$A$3:$F$32,2,FALSE)),0)</f>
        <v>0</v>
      </c>
      <c r="Y27">
        <f>IF(AND(SUM(VLOOKUP($A27,test!$A$3:$F$32,2,FALSE),VLOOKUP(Y$1,test!$A$3:$F$32,2,FALSE))&lt;test!$K$16,$A27&lt;&gt;Y$1,feasible_mat!Y27=1),SUM(VLOOKUP($A27,test!$A$3:$F$32,2,FALSE),VLOOKUP(Y$1,test!$A$3:$F$32,2,FALSE)),0)</f>
        <v>0</v>
      </c>
      <c r="Z27">
        <f>IF(AND(SUM(VLOOKUP($A27,test!$A$3:$F$32,2,FALSE),VLOOKUP(Z$1,test!$A$3:$F$32,2,FALSE))&lt;test!$K$16,$A27&lt;&gt;Z$1,feasible_mat!Z27=1),SUM(VLOOKUP($A27,test!$A$3:$F$32,2,FALSE),VLOOKUP(Z$1,test!$A$3:$F$32,2,FALSE)),0)</f>
        <v>0</v>
      </c>
      <c r="AA27">
        <f>IF(AND(SUM(VLOOKUP($A27,test!$A$3:$F$32,2,FALSE),VLOOKUP(AA$1,test!$A$3:$F$32,2,FALSE))&lt;test!$K$16,$A27&lt;&gt;AA$1,feasible_mat!AA27=1),SUM(VLOOKUP($A27,test!$A$3:$F$32,2,FALSE),VLOOKUP(AA$1,test!$A$3:$F$32,2,FALSE)),0)</f>
        <v>0</v>
      </c>
      <c r="AB27">
        <f>IF(AND(SUM(VLOOKUP($A27,test!$A$3:$F$32,2,FALSE),VLOOKUP(AB$1,test!$A$3:$F$32,2,FALSE))&lt;test!$K$16,$A27&lt;&gt;AB$1,feasible_mat!AB27=1),SUM(VLOOKUP($A27,test!$A$3:$F$32,2,FALSE),VLOOKUP(AB$1,test!$A$3:$F$32,2,FALSE)),0)</f>
        <v>0</v>
      </c>
      <c r="AC27">
        <f>IF(AND(SUM(VLOOKUP($A27,test!$A$3:$F$32,2,FALSE),VLOOKUP(AC$1,test!$A$3:$F$32,2,FALSE))&lt;test!$K$16,$A27&lt;&gt;AC$1,feasible_mat!AC27=1),SUM(VLOOKUP($A27,test!$A$3:$F$32,2,FALSE),VLOOKUP(AC$1,test!$A$3:$F$32,2,FALSE)),0)</f>
        <v>0</v>
      </c>
      <c r="AD27">
        <f>IF(AND(SUM(VLOOKUP($A27,test!$A$3:$F$32,2,FALSE),VLOOKUP(AD$1,test!$A$3:$F$32,2,FALSE))&lt;test!$K$16,$A27&lt;&gt;AD$1,feasible_mat!AD27=1),SUM(VLOOKUP($A27,test!$A$3:$F$32,2,FALSE),VLOOKUP(AD$1,test!$A$3:$F$32,2,FALSE)),0)</f>
        <v>0</v>
      </c>
      <c r="AE27">
        <f>IF(AND(SUM(VLOOKUP($A27,test!$A$3:$F$32,2,FALSE),VLOOKUP(AE$1,test!$A$3:$F$32,2,FALSE))&lt;test!$K$16,$A27&lt;&gt;AE$1,feasible_mat!AE27=1),SUM(VLOOKUP($A27,test!$A$3:$F$32,2,FALSE),VLOOKUP(AE$1,test!$A$3:$F$32,2,FALSE)),0)</f>
        <v>0</v>
      </c>
      <c r="AF27">
        <f>IF(AND(SUM(VLOOKUP($A27,test!$A$3:$F$32,2,FALSE),VLOOKUP(AF$1,test!$A$3:$F$32,2,FALSE))&lt;test!$K$16,$A27&lt;&gt;AF$1,feasible_mat!AF27=1),SUM(VLOOKUP($A27,test!$A$3:$F$32,2,FALSE),VLOOKUP(AF$1,test!$A$3:$F$32,2,FALSE)),0)</f>
        <v>0</v>
      </c>
      <c r="AG27">
        <v>60</v>
      </c>
      <c r="AH27">
        <v>75</v>
      </c>
      <c r="AI27">
        <v>70</v>
      </c>
    </row>
    <row r="28" spans="1:35" x14ac:dyDescent="0.25">
      <c r="A28" t="s">
        <v>37</v>
      </c>
      <c r="B28">
        <v>0</v>
      </c>
      <c r="C28">
        <f>IF(AND(SUM(VLOOKUP($A28,test!$A$3:$F$32,2,FALSE),VLOOKUP(C$1,test!$A$3:$F$32,2,FALSE))&lt;test!$K$16,$A28&lt;&gt;C$1,feasible_mat!C28=1),SUM(VLOOKUP($A28,test!$A$3:$F$32,2,FALSE),VLOOKUP(C$1,test!$A$3:$F$32,2,FALSE)),0)</f>
        <v>0</v>
      </c>
      <c r="D28">
        <f>IF(AND(SUM(VLOOKUP($A28,test!$A$3:$F$32,2,FALSE),VLOOKUP(D$1,test!$A$3:$F$32,2,FALSE))&lt;test!$K$16,$A28&lt;&gt;D$1,feasible_mat!D28=1),SUM(VLOOKUP($A28,test!$A$3:$F$32,2,FALSE),VLOOKUP(D$1,test!$A$3:$F$32,2,FALSE)),0)</f>
        <v>0</v>
      </c>
      <c r="E28">
        <f>IF(AND(SUM(VLOOKUP($A28,test!$A$3:$F$32,2,FALSE),VLOOKUP(E$1,test!$A$3:$F$32,2,FALSE))&lt;test!$K$16,$A28&lt;&gt;E$1,feasible_mat!E28=1),SUM(VLOOKUP($A28,test!$A$3:$F$32,2,FALSE),VLOOKUP(E$1,test!$A$3:$F$32,2,FALSE)),0)</f>
        <v>0</v>
      </c>
      <c r="F28">
        <f>IF(AND(SUM(VLOOKUP($A28,test!$A$3:$F$32,2,FALSE),VLOOKUP(F$1,test!$A$3:$F$32,2,FALSE))&lt;test!$K$16,$A28&lt;&gt;F$1,feasible_mat!F28=1),SUM(VLOOKUP($A28,test!$A$3:$F$32,2,FALSE),VLOOKUP(F$1,test!$A$3:$F$32,2,FALSE)),0)</f>
        <v>0</v>
      </c>
      <c r="G28">
        <f>IF(AND(SUM(VLOOKUP($A28,test!$A$3:$F$32,2,FALSE),VLOOKUP(G$1,test!$A$3:$F$32,2,FALSE))&lt;test!$K$16,$A28&lt;&gt;G$1,feasible_mat!G28=1),SUM(VLOOKUP($A28,test!$A$3:$F$32,2,FALSE),VLOOKUP(G$1,test!$A$3:$F$32,2,FALSE)),0)</f>
        <v>0</v>
      </c>
      <c r="H28">
        <f>IF(AND(SUM(VLOOKUP($A28,test!$A$3:$F$32,2,FALSE),VLOOKUP(H$1,test!$A$3:$F$32,2,FALSE))&lt;test!$K$16,$A28&lt;&gt;H$1,feasible_mat!H28=1),SUM(VLOOKUP($A28,test!$A$3:$F$32,2,FALSE),VLOOKUP(H$1,test!$A$3:$F$32,2,FALSE)),0)</f>
        <v>0</v>
      </c>
      <c r="I28">
        <f>IF(AND(SUM(VLOOKUP($A28,test!$A$3:$F$32,2,FALSE),VLOOKUP(I$1,test!$A$3:$F$32,2,FALSE))&lt;test!$K$16,$A28&lt;&gt;I$1,feasible_mat!I28=1),SUM(VLOOKUP($A28,test!$A$3:$F$32,2,FALSE),VLOOKUP(I$1,test!$A$3:$F$32,2,FALSE)),0)</f>
        <v>275</v>
      </c>
      <c r="J28">
        <f>IF(AND(SUM(VLOOKUP($A28,test!$A$3:$F$32,2,FALSE),VLOOKUP(J$1,test!$A$3:$F$32,2,FALSE))&lt;test!$K$16,$A28&lt;&gt;J$1,feasible_mat!J28=1),SUM(VLOOKUP($A28,test!$A$3:$F$32,2,FALSE),VLOOKUP(J$1,test!$A$3:$F$32,2,FALSE)),0)</f>
        <v>275</v>
      </c>
      <c r="K28">
        <f>IF(AND(SUM(VLOOKUP($A28,test!$A$3:$F$32,2,FALSE),VLOOKUP(K$1,test!$A$3:$F$32,2,FALSE))&lt;test!$K$16,$A28&lt;&gt;K$1,feasible_mat!K28=1),SUM(VLOOKUP($A28,test!$A$3:$F$32,2,FALSE),VLOOKUP(K$1,test!$A$3:$F$32,2,FALSE)),0)</f>
        <v>0</v>
      </c>
      <c r="L28">
        <f>IF(AND(SUM(VLOOKUP($A28,test!$A$3:$F$32,2,FALSE),VLOOKUP(L$1,test!$A$3:$F$32,2,FALSE))&lt;test!$K$16,$A28&lt;&gt;L$1,feasible_mat!L28=1),SUM(VLOOKUP($A28,test!$A$3:$F$32,2,FALSE),VLOOKUP(L$1,test!$A$3:$F$32,2,FALSE)),0)</f>
        <v>0</v>
      </c>
      <c r="M28">
        <f>IF(AND(SUM(VLOOKUP($A28,test!$A$3:$F$32,2,FALSE),VLOOKUP(M$1,test!$A$3:$F$32,2,FALSE))&lt;test!$K$16,$A28&lt;&gt;M$1,feasible_mat!M28=1),SUM(VLOOKUP($A28,test!$A$3:$F$32,2,FALSE),VLOOKUP(M$1,test!$A$3:$F$32,2,FALSE)),0)</f>
        <v>0</v>
      </c>
      <c r="N28">
        <f>IF(AND(SUM(VLOOKUP($A28,test!$A$3:$F$32,2,FALSE),VLOOKUP(N$1,test!$A$3:$F$32,2,FALSE))&lt;test!$K$16,$A28&lt;&gt;N$1,feasible_mat!N28=1),SUM(VLOOKUP($A28,test!$A$3:$F$32,2,FALSE),VLOOKUP(N$1,test!$A$3:$F$32,2,FALSE)),0)</f>
        <v>280</v>
      </c>
      <c r="O28">
        <f>IF(AND(SUM(VLOOKUP($A28,test!$A$3:$F$32,2,FALSE),VLOOKUP(O$1,test!$A$3:$F$32,2,FALSE))&lt;test!$K$16,$A28&lt;&gt;O$1,feasible_mat!O28=1),SUM(VLOOKUP($A28,test!$A$3:$F$32,2,FALSE),VLOOKUP(O$1,test!$A$3:$F$32,2,FALSE)),0)</f>
        <v>280</v>
      </c>
      <c r="P28">
        <f>IF(AND(SUM(VLOOKUP($A28,test!$A$3:$F$32,2,FALSE),VLOOKUP(P$1,test!$A$3:$F$32,2,FALSE))&lt;test!$K$16,$A28&lt;&gt;P$1,feasible_mat!P28=1),SUM(VLOOKUP($A28,test!$A$3:$F$32,2,FALSE),VLOOKUP(P$1,test!$A$3:$F$32,2,FALSE)),0)</f>
        <v>0</v>
      </c>
      <c r="Q28">
        <f>IF(AND(SUM(VLOOKUP($A28,test!$A$3:$F$32,2,FALSE),VLOOKUP(Q$1,test!$A$3:$F$32,2,FALSE))&lt;test!$K$16,$A28&lt;&gt;Q$1,feasible_mat!Q28=1),SUM(VLOOKUP($A28,test!$A$3:$F$32,2,FALSE),VLOOKUP(Q$1,test!$A$3:$F$32,2,FALSE)),0)</f>
        <v>0</v>
      </c>
      <c r="R28">
        <f>IF(AND(SUM(VLOOKUP($A28,test!$A$3:$F$32,2,FALSE),VLOOKUP(R$1,test!$A$3:$F$32,2,FALSE))&lt;test!$K$16,$A28&lt;&gt;R$1,feasible_mat!R28=1),SUM(VLOOKUP($A28,test!$A$3:$F$32,2,FALSE),VLOOKUP(R$1,test!$A$3:$F$32,2,FALSE)),0)</f>
        <v>0</v>
      </c>
      <c r="S28">
        <f>IF(AND(SUM(VLOOKUP($A28,test!$A$3:$F$32,2,FALSE),VLOOKUP(S$1,test!$A$3:$F$32,2,FALSE))&lt;test!$K$16,$A28&lt;&gt;S$1,feasible_mat!S28=1),SUM(VLOOKUP($A28,test!$A$3:$F$32,2,FALSE),VLOOKUP(S$1,test!$A$3:$F$32,2,FALSE)),0)</f>
        <v>0</v>
      </c>
      <c r="T28">
        <f>IF(AND(SUM(VLOOKUP($A28,test!$A$3:$F$32,2,FALSE),VLOOKUP(T$1,test!$A$3:$F$32,2,FALSE))&lt;test!$K$16,$A28&lt;&gt;T$1,feasible_mat!T28=1),SUM(VLOOKUP($A28,test!$A$3:$F$32,2,FALSE),VLOOKUP(T$1,test!$A$3:$F$32,2,FALSE)),0)</f>
        <v>0</v>
      </c>
      <c r="U28">
        <f>IF(AND(SUM(VLOOKUP($A28,test!$A$3:$F$32,2,FALSE),VLOOKUP(U$1,test!$A$3:$F$32,2,FALSE))&lt;test!$K$16,$A28&lt;&gt;U$1,feasible_mat!U28=1),SUM(VLOOKUP($A28,test!$A$3:$F$32,2,FALSE),VLOOKUP(U$1,test!$A$3:$F$32,2,FALSE)),0)</f>
        <v>0</v>
      </c>
      <c r="V28">
        <f>IF(AND(SUM(VLOOKUP($A28,test!$A$3:$F$32,2,FALSE),VLOOKUP(V$1,test!$A$3:$F$32,2,FALSE))&lt;test!$K$16,$A28&lt;&gt;V$1,feasible_mat!V28=1),SUM(VLOOKUP($A28,test!$A$3:$F$32,2,FALSE),VLOOKUP(V$1,test!$A$3:$F$32,2,FALSE)),0)</f>
        <v>0</v>
      </c>
      <c r="W28">
        <f>IF(AND(SUM(VLOOKUP($A28,test!$A$3:$F$32,2,FALSE),VLOOKUP(W$1,test!$A$3:$F$32,2,FALSE))&lt;test!$K$16,$A28&lt;&gt;W$1,feasible_mat!W28=1),SUM(VLOOKUP($A28,test!$A$3:$F$32,2,FALSE),VLOOKUP(W$1,test!$A$3:$F$32,2,FALSE)),0)</f>
        <v>0</v>
      </c>
      <c r="X28">
        <f>IF(AND(SUM(VLOOKUP($A28,test!$A$3:$F$32,2,FALSE),VLOOKUP(X$1,test!$A$3:$F$32,2,FALSE))&lt;test!$K$16,$A28&lt;&gt;X$1,feasible_mat!X28=1),SUM(VLOOKUP($A28,test!$A$3:$F$32,2,FALSE),VLOOKUP(X$1,test!$A$3:$F$32,2,FALSE)),0)</f>
        <v>0</v>
      </c>
      <c r="Y28">
        <f>IF(AND(SUM(VLOOKUP($A28,test!$A$3:$F$32,2,FALSE),VLOOKUP(Y$1,test!$A$3:$F$32,2,FALSE))&lt;test!$K$16,$A28&lt;&gt;Y$1,feasible_mat!Y28=1),SUM(VLOOKUP($A28,test!$A$3:$F$32,2,FALSE),VLOOKUP(Y$1,test!$A$3:$F$32,2,FALSE)),0)</f>
        <v>0</v>
      </c>
      <c r="Z28">
        <f>IF(AND(SUM(VLOOKUP($A28,test!$A$3:$F$32,2,FALSE),VLOOKUP(Z$1,test!$A$3:$F$32,2,FALSE))&lt;test!$K$16,$A28&lt;&gt;Z$1,feasible_mat!Z28=1),SUM(VLOOKUP($A28,test!$A$3:$F$32,2,FALSE),VLOOKUP(Z$1,test!$A$3:$F$32,2,FALSE)),0)</f>
        <v>0</v>
      </c>
      <c r="AA28">
        <f>IF(AND(SUM(VLOOKUP($A28,test!$A$3:$F$32,2,FALSE),VLOOKUP(AA$1,test!$A$3:$F$32,2,FALSE))&lt;test!$K$16,$A28&lt;&gt;AA$1,feasible_mat!AA28=1),SUM(VLOOKUP($A28,test!$A$3:$F$32,2,FALSE),VLOOKUP(AA$1,test!$A$3:$F$32,2,FALSE)),0)</f>
        <v>0</v>
      </c>
      <c r="AB28">
        <f>IF(AND(SUM(VLOOKUP($A28,test!$A$3:$F$32,2,FALSE),VLOOKUP(AB$1,test!$A$3:$F$32,2,FALSE))&lt;test!$K$16,$A28&lt;&gt;AB$1,feasible_mat!AB28=1),SUM(VLOOKUP($A28,test!$A$3:$F$32,2,FALSE),VLOOKUP(AB$1,test!$A$3:$F$32,2,FALSE)),0)</f>
        <v>0</v>
      </c>
      <c r="AC28">
        <f>IF(AND(SUM(VLOOKUP($A28,test!$A$3:$F$32,2,FALSE),VLOOKUP(AC$1,test!$A$3:$F$32,2,FALSE))&lt;test!$K$16,$A28&lt;&gt;AC$1,feasible_mat!AC28=1),SUM(VLOOKUP($A28,test!$A$3:$F$32,2,FALSE),VLOOKUP(AC$1,test!$A$3:$F$32,2,FALSE)),0)</f>
        <v>0</v>
      </c>
      <c r="AD28">
        <f>IF(AND(SUM(VLOOKUP($A28,test!$A$3:$F$32,2,FALSE),VLOOKUP(AD$1,test!$A$3:$F$32,2,FALSE))&lt;test!$K$16,$A28&lt;&gt;AD$1,feasible_mat!AD28=1),SUM(VLOOKUP($A28,test!$A$3:$F$32,2,FALSE),VLOOKUP(AD$1,test!$A$3:$F$32,2,FALSE)),0)</f>
        <v>0</v>
      </c>
      <c r="AE28">
        <f>IF(AND(SUM(VLOOKUP($A28,test!$A$3:$F$32,2,FALSE),VLOOKUP(AE$1,test!$A$3:$F$32,2,FALSE))&lt;test!$K$16,$A28&lt;&gt;AE$1,feasible_mat!AE28=1),SUM(VLOOKUP($A28,test!$A$3:$F$32,2,FALSE),VLOOKUP(AE$1,test!$A$3:$F$32,2,FALSE)),0)</f>
        <v>0</v>
      </c>
      <c r="AF28">
        <f>IF(AND(SUM(VLOOKUP($A28,test!$A$3:$F$32,2,FALSE),VLOOKUP(AF$1,test!$A$3:$F$32,2,FALSE))&lt;test!$K$16,$A28&lt;&gt;AF$1,feasible_mat!AF28=1),SUM(VLOOKUP($A28,test!$A$3:$F$32,2,FALSE),VLOOKUP(AF$1,test!$A$3:$F$32,2,FALSE)),0)</f>
        <v>0</v>
      </c>
      <c r="AG28">
        <v>60</v>
      </c>
      <c r="AH28">
        <v>75</v>
      </c>
      <c r="AI28">
        <v>70</v>
      </c>
    </row>
    <row r="29" spans="1:35" x14ac:dyDescent="0.25">
      <c r="A29" t="s">
        <v>38</v>
      </c>
      <c r="B29">
        <v>0</v>
      </c>
      <c r="C29">
        <f>IF(AND(SUM(VLOOKUP($A29,test!$A$3:$F$32,2,FALSE),VLOOKUP(C$1,test!$A$3:$F$32,2,FALSE))&lt;test!$K$16,$A29&lt;&gt;C$1,feasible_mat!C29=1),SUM(VLOOKUP($A29,test!$A$3:$F$32,2,FALSE),VLOOKUP(C$1,test!$A$3:$F$32,2,FALSE)),0)</f>
        <v>0</v>
      </c>
      <c r="D29">
        <f>IF(AND(SUM(VLOOKUP($A29,test!$A$3:$F$32,2,FALSE),VLOOKUP(D$1,test!$A$3:$F$32,2,FALSE))&lt;test!$K$16,$A29&lt;&gt;D$1,feasible_mat!D29=1),SUM(VLOOKUP($A29,test!$A$3:$F$32,2,FALSE),VLOOKUP(D$1,test!$A$3:$F$32,2,FALSE)),0)</f>
        <v>0</v>
      </c>
      <c r="E29">
        <f>IF(AND(SUM(VLOOKUP($A29,test!$A$3:$F$32,2,FALSE),VLOOKUP(E$1,test!$A$3:$F$32,2,FALSE))&lt;test!$K$16,$A29&lt;&gt;E$1,feasible_mat!E29=1),SUM(VLOOKUP($A29,test!$A$3:$F$32,2,FALSE),VLOOKUP(E$1,test!$A$3:$F$32,2,FALSE)),0)</f>
        <v>0</v>
      </c>
      <c r="F29">
        <f>IF(AND(SUM(VLOOKUP($A29,test!$A$3:$F$32,2,FALSE),VLOOKUP(F$1,test!$A$3:$F$32,2,FALSE))&lt;test!$K$16,$A29&lt;&gt;F$1,feasible_mat!F29=1),SUM(VLOOKUP($A29,test!$A$3:$F$32,2,FALSE),VLOOKUP(F$1,test!$A$3:$F$32,2,FALSE)),0)</f>
        <v>0</v>
      </c>
      <c r="G29">
        <f>IF(AND(SUM(VLOOKUP($A29,test!$A$3:$F$32,2,FALSE),VLOOKUP(G$1,test!$A$3:$F$32,2,FALSE))&lt;test!$K$16,$A29&lt;&gt;G$1,feasible_mat!G29=1),SUM(VLOOKUP($A29,test!$A$3:$F$32,2,FALSE),VLOOKUP(G$1,test!$A$3:$F$32,2,FALSE)),0)</f>
        <v>0</v>
      </c>
      <c r="H29">
        <f>IF(AND(SUM(VLOOKUP($A29,test!$A$3:$F$32,2,FALSE),VLOOKUP(H$1,test!$A$3:$F$32,2,FALSE))&lt;test!$K$16,$A29&lt;&gt;H$1,feasible_mat!H29=1),SUM(VLOOKUP($A29,test!$A$3:$F$32,2,FALSE),VLOOKUP(H$1,test!$A$3:$F$32,2,FALSE)),0)</f>
        <v>0</v>
      </c>
      <c r="I29">
        <f>IF(AND(SUM(VLOOKUP($A29,test!$A$3:$F$32,2,FALSE),VLOOKUP(I$1,test!$A$3:$F$32,2,FALSE))&lt;test!$K$16,$A29&lt;&gt;I$1,feasible_mat!I29=1),SUM(VLOOKUP($A29,test!$A$3:$F$32,2,FALSE),VLOOKUP(I$1,test!$A$3:$F$32,2,FALSE)),0)</f>
        <v>0</v>
      </c>
      <c r="J29">
        <f>IF(AND(SUM(VLOOKUP($A29,test!$A$3:$F$32,2,FALSE),VLOOKUP(J$1,test!$A$3:$F$32,2,FALSE))&lt;test!$K$16,$A29&lt;&gt;J$1,feasible_mat!J29=1),SUM(VLOOKUP($A29,test!$A$3:$F$32,2,FALSE),VLOOKUP(J$1,test!$A$3:$F$32,2,FALSE)),0)</f>
        <v>0</v>
      </c>
      <c r="K29">
        <f>IF(AND(SUM(VLOOKUP($A29,test!$A$3:$F$32,2,FALSE),VLOOKUP(K$1,test!$A$3:$F$32,2,FALSE))&lt;test!$K$16,$A29&lt;&gt;K$1,feasible_mat!K29=1),SUM(VLOOKUP($A29,test!$A$3:$F$32,2,FALSE),VLOOKUP(K$1,test!$A$3:$F$32,2,FALSE)),0)</f>
        <v>0</v>
      </c>
      <c r="L29">
        <f>IF(AND(SUM(VLOOKUP($A29,test!$A$3:$F$32,2,FALSE),VLOOKUP(L$1,test!$A$3:$F$32,2,FALSE))&lt;test!$K$16,$A29&lt;&gt;L$1,feasible_mat!L29=1),SUM(VLOOKUP($A29,test!$A$3:$F$32,2,FALSE),VLOOKUP(L$1,test!$A$3:$F$32,2,FALSE)),0)</f>
        <v>0</v>
      </c>
      <c r="M29">
        <f>IF(AND(SUM(VLOOKUP($A29,test!$A$3:$F$32,2,FALSE),VLOOKUP(M$1,test!$A$3:$F$32,2,FALSE))&lt;test!$K$16,$A29&lt;&gt;M$1,feasible_mat!M29=1),SUM(VLOOKUP($A29,test!$A$3:$F$32,2,FALSE),VLOOKUP(M$1,test!$A$3:$F$32,2,FALSE)),0)</f>
        <v>0</v>
      </c>
      <c r="N29">
        <f>IF(AND(SUM(VLOOKUP($A29,test!$A$3:$F$32,2,FALSE),VLOOKUP(N$1,test!$A$3:$F$32,2,FALSE))&lt;test!$K$16,$A29&lt;&gt;N$1,feasible_mat!N29=1),SUM(VLOOKUP($A29,test!$A$3:$F$32,2,FALSE),VLOOKUP(N$1,test!$A$3:$F$32,2,FALSE)),0)</f>
        <v>0</v>
      </c>
      <c r="O29">
        <f>IF(AND(SUM(VLOOKUP($A29,test!$A$3:$F$32,2,FALSE),VLOOKUP(O$1,test!$A$3:$F$32,2,FALSE))&lt;test!$K$16,$A29&lt;&gt;O$1,feasible_mat!O29=1),SUM(VLOOKUP($A29,test!$A$3:$F$32,2,FALSE),VLOOKUP(O$1,test!$A$3:$F$32,2,FALSE)),0)</f>
        <v>280</v>
      </c>
      <c r="P29">
        <f>IF(AND(SUM(VLOOKUP($A29,test!$A$3:$F$32,2,FALSE),VLOOKUP(P$1,test!$A$3:$F$32,2,FALSE))&lt;test!$K$16,$A29&lt;&gt;P$1,feasible_mat!P29=1),SUM(VLOOKUP($A29,test!$A$3:$F$32,2,FALSE),VLOOKUP(P$1,test!$A$3:$F$32,2,FALSE)),0)</f>
        <v>0</v>
      </c>
      <c r="Q29">
        <f>IF(AND(SUM(VLOOKUP($A29,test!$A$3:$F$32,2,FALSE),VLOOKUP(Q$1,test!$A$3:$F$32,2,FALSE))&lt;test!$K$16,$A29&lt;&gt;Q$1,feasible_mat!Q29=1),SUM(VLOOKUP($A29,test!$A$3:$F$32,2,FALSE),VLOOKUP(Q$1,test!$A$3:$F$32,2,FALSE)),0)</f>
        <v>0</v>
      </c>
      <c r="R29">
        <f>IF(AND(SUM(VLOOKUP($A29,test!$A$3:$F$32,2,FALSE),VLOOKUP(R$1,test!$A$3:$F$32,2,FALSE))&lt;test!$K$16,$A29&lt;&gt;R$1,feasible_mat!R29=1),SUM(VLOOKUP($A29,test!$A$3:$F$32,2,FALSE),VLOOKUP(R$1,test!$A$3:$F$32,2,FALSE)),0)</f>
        <v>0</v>
      </c>
      <c r="S29">
        <f>IF(AND(SUM(VLOOKUP($A29,test!$A$3:$F$32,2,FALSE),VLOOKUP(S$1,test!$A$3:$F$32,2,FALSE))&lt;test!$K$16,$A29&lt;&gt;S$1,feasible_mat!S29=1),SUM(VLOOKUP($A29,test!$A$3:$F$32,2,FALSE),VLOOKUP(S$1,test!$A$3:$F$32,2,FALSE)),0)</f>
        <v>0</v>
      </c>
      <c r="T29">
        <f>IF(AND(SUM(VLOOKUP($A29,test!$A$3:$F$32,2,FALSE),VLOOKUP(T$1,test!$A$3:$F$32,2,FALSE))&lt;test!$K$16,$A29&lt;&gt;T$1,feasible_mat!T29=1),SUM(VLOOKUP($A29,test!$A$3:$F$32,2,FALSE),VLOOKUP(T$1,test!$A$3:$F$32,2,FALSE)),0)</f>
        <v>0</v>
      </c>
      <c r="U29">
        <f>IF(AND(SUM(VLOOKUP($A29,test!$A$3:$F$32,2,FALSE),VLOOKUP(U$1,test!$A$3:$F$32,2,FALSE))&lt;test!$K$16,$A29&lt;&gt;U$1,feasible_mat!U29=1),SUM(VLOOKUP($A29,test!$A$3:$F$32,2,FALSE),VLOOKUP(U$1,test!$A$3:$F$32,2,FALSE)),0)</f>
        <v>0</v>
      </c>
      <c r="V29">
        <f>IF(AND(SUM(VLOOKUP($A29,test!$A$3:$F$32,2,FALSE),VLOOKUP(V$1,test!$A$3:$F$32,2,FALSE))&lt;test!$K$16,$A29&lt;&gt;V$1,feasible_mat!V29=1),SUM(VLOOKUP($A29,test!$A$3:$F$32,2,FALSE),VLOOKUP(V$1,test!$A$3:$F$32,2,FALSE)),0)</f>
        <v>0</v>
      </c>
      <c r="W29">
        <f>IF(AND(SUM(VLOOKUP($A29,test!$A$3:$F$32,2,FALSE),VLOOKUP(W$1,test!$A$3:$F$32,2,FALSE))&lt;test!$K$16,$A29&lt;&gt;W$1,feasible_mat!W29=1),SUM(VLOOKUP($A29,test!$A$3:$F$32,2,FALSE),VLOOKUP(W$1,test!$A$3:$F$32,2,FALSE)),0)</f>
        <v>0</v>
      </c>
      <c r="X29">
        <f>IF(AND(SUM(VLOOKUP($A29,test!$A$3:$F$32,2,FALSE),VLOOKUP(X$1,test!$A$3:$F$32,2,FALSE))&lt;test!$K$16,$A29&lt;&gt;X$1,feasible_mat!X29=1),SUM(VLOOKUP($A29,test!$A$3:$F$32,2,FALSE),VLOOKUP(X$1,test!$A$3:$F$32,2,FALSE)),0)</f>
        <v>0</v>
      </c>
      <c r="Y29">
        <f>IF(AND(SUM(VLOOKUP($A29,test!$A$3:$F$32,2,FALSE),VLOOKUP(Y$1,test!$A$3:$F$32,2,FALSE))&lt;test!$K$16,$A29&lt;&gt;Y$1,feasible_mat!Y29=1),SUM(VLOOKUP($A29,test!$A$3:$F$32,2,FALSE),VLOOKUP(Y$1,test!$A$3:$F$32,2,FALSE)),0)</f>
        <v>0</v>
      </c>
      <c r="Z29">
        <f>IF(AND(SUM(VLOOKUP($A29,test!$A$3:$F$32,2,FALSE),VLOOKUP(Z$1,test!$A$3:$F$32,2,FALSE))&lt;test!$K$16,$A29&lt;&gt;Z$1,feasible_mat!Z29=1),SUM(VLOOKUP($A29,test!$A$3:$F$32,2,FALSE),VLOOKUP(Z$1,test!$A$3:$F$32,2,FALSE)),0)</f>
        <v>0</v>
      </c>
      <c r="AA29">
        <f>IF(AND(SUM(VLOOKUP($A29,test!$A$3:$F$32,2,FALSE),VLOOKUP(AA$1,test!$A$3:$F$32,2,FALSE))&lt;test!$K$16,$A29&lt;&gt;AA$1,feasible_mat!AA29=1),SUM(VLOOKUP($A29,test!$A$3:$F$32,2,FALSE),VLOOKUP(AA$1,test!$A$3:$F$32,2,FALSE)),0)</f>
        <v>0</v>
      </c>
      <c r="AB29">
        <f>IF(AND(SUM(VLOOKUP($A29,test!$A$3:$F$32,2,FALSE),VLOOKUP(AB$1,test!$A$3:$F$32,2,FALSE))&lt;test!$K$16,$A29&lt;&gt;AB$1,feasible_mat!AB29=1),SUM(VLOOKUP($A29,test!$A$3:$F$32,2,FALSE),VLOOKUP(AB$1,test!$A$3:$F$32,2,FALSE)),0)</f>
        <v>0</v>
      </c>
      <c r="AC29">
        <f>IF(AND(SUM(VLOOKUP($A29,test!$A$3:$F$32,2,FALSE),VLOOKUP(AC$1,test!$A$3:$F$32,2,FALSE))&lt;test!$K$16,$A29&lt;&gt;AC$1,feasible_mat!AC29=1),SUM(VLOOKUP($A29,test!$A$3:$F$32,2,FALSE),VLOOKUP(AC$1,test!$A$3:$F$32,2,FALSE)),0)</f>
        <v>0</v>
      </c>
      <c r="AD29">
        <f>IF(AND(SUM(VLOOKUP($A29,test!$A$3:$F$32,2,FALSE),VLOOKUP(AD$1,test!$A$3:$F$32,2,FALSE))&lt;test!$K$16,$A29&lt;&gt;AD$1,feasible_mat!AD29=1),SUM(VLOOKUP($A29,test!$A$3:$F$32,2,FALSE),VLOOKUP(AD$1,test!$A$3:$F$32,2,FALSE)),0)</f>
        <v>0</v>
      </c>
      <c r="AE29">
        <f>IF(AND(SUM(VLOOKUP($A29,test!$A$3:$F$32,2,FALSE),VLOOKUP(AE$1,test!$A$3:$F$32,2,FALSE))&lt;test!$K$16,$A29&lt;&gt;AE$1,feasible_mat!AE29=1),SUM(VLOOKUP($A29,test!$A$3:$F$32,2,FALSE),VLOOKUP(AE$1,test!$A$3:$F$32,2,FALSE)),0)</f>
        <v>0</v>
      </c>
      <c r="AF29">
        <f>IF(AND(SUM(VLOOKUP($A29,test!$A$3:$F$32,2,FALSE),VLOOKUP(AF$1,test!$A$3:$F$32,2,FALSE))&lt;test!$K$16,$A29&lt;&gt;AF$1,feasible_mat!AF29=1),SUM(VLOOKUP($A29,test!$A$3:$F$32,2,FALSE),VLOOKUP(AF$1,test!$A$3:$F$32,2,FALSE)),0)</f>
        <v>0</v>
      </c>
      <c r="AG29">
        <v>60</v>
      </c>
      <c r="AH29">
        <v>75</v>
      </c>
      <c r="AI29">
        <v>70</v>
      </c>
    </row>
    <row r="30" spans="1:35" x14ac:dyDescent="0.25">
      <c r="A30" t="s">
        <v>39</v>
      </c>
      <c r="B30">
        <v>0</v>
      </c>
      <c r="C30">
        <f>IF(AND(SUM(VLOOKUP($A30,test!$A$3:$F$32,2,FALSE),VLOOKUP(C$1,test!$A$3:$F$32,2,FALSE))&lt;test!$K$16,$A30&lt;&gt;C$1,feasible_mat!C30=1),SUM(VLOOKUP($A30,test!$A$3:$F$32,2,FALSE),VLOOKUP(C$1,test!$A$3:$F$32,2,FALSE)),0)</f>
        <v>0</v>
      </c>
      <c r="D30">
        <f>IF(AND(SUM(VLOOKUP($A30,test!$A$3:$F$32,2,FALSE),VLOOKUP(D$1,test!$A$3:$F$32,2,FALSE))&lt;test!$K$16,$A30&lt;&gt;D$1,feasible_mat!D30=1),SUM(VLOOKUP($A30,test!$A$3:$F$32,2,FALSE),VLOOKUP(D$1,test!$A$3:$F$32,2,FALSE)),0)</f>
        <v>0</v>
      </c>
      <c r="E30">
        <f>IF(AND(SUM(VLOOKUP($A30,test!$A$3:$F$32,2,FALSE),VLOOKUP(E$1,test!$A$3:$F$32,2,FALSE))&lt;test!$K$16,$A30&lt;&gt;E$1,feasible_mat!E30=1),SUM(VLOOKUP($A30,test!$A$3:$F$32,2,FALSE),VLOOKUP(E$1,test!$A$3:$F$32,2,FALSE)),0)</f>
        <v>0</v>
      </c>
      <c r="F30">
        <f>IF(AND(SUM(VLOOKUP($A30,test!$A$3:$F$32,2,FALSE),VLOOKUP(F$1,test!$A$3:$F$32,2,FALSE))&lt;test!$K$16,$A30&lt;&gt;F$1,feasible_mat!F30=1),SUM(VLOOKUP($A30,test!$A$3:$F$32,2,FALSE),VLOOKUP(F$1,test!$A$3:$F$32,2,FALSE)),0)</f>
        <v>0</v>
      </c>
      <c r="G30">
        <f>IF(AND(SUM(VLOOKUP($A30,test!$A$3:$F$32,2,FALSE),VLOOKUP(G$1,test!$A$3:$F$32,2,FALSE))&lt;test!$K$16,$A30&lt;&gt;G$1,feasible_mat!G30=1),SUM(VLOOKUP($A30,test!$A$3:$F$32,2,FALSE),VLOOKUP(G$1,test!$A$3:$F$32,2,FALSE)),0)</f>
        <v>0</v>
      </c>
      <c r="H30">
        <f>IF(AND(SUM(VLOOKUP($A30,test!$A$3:$F$32,2,FALSE),VLOOKUP(H$1,test!$A$3:$F$32,2,FALSE))&lt;test!$K$16,$A30&lt;&gt;H$1,feasible_mat!H30=1),SUM(VLOOKUP($A30,test!$A$3:$F$32,2,FALSE),VLOOKUP(H$1,test!$A$3:$F$32,2,FALSE)),0)</f>
        <v>0</v>
      </c>
      <c r="I30">
        <f>IF(AND(SUM(VLOOKUP($A30,test!$A$3:$F$32,2,FALSE),VLOOKUP(I$1,test!$A$3:$F$32,2,FALSE))&lt;test!$K$16,$A30&lt;&gt;I$1,feasible_mat!I30=1),SUM(VLOOKUP($A30,test!$A$3:$F$32,2,FALSE),VLOOKUP(I$1,test!$A$3:$F$32,2,FALSE)),0)</f>
        <v>0</v>
      </c>
      <c r="J30">
        <f>IF(AND(SUM(VLOOKUP($A30,test!$A$3:$F$32,2,FALSE),VLOOKUP(J$1,test!$A$3:$F$32,2,FALSE))&lt;test!$K$16,$A30&lt;&gt;J$1,feasible_mat!J30=1),SUM(VLOOKUP($A30,test!$A$3:$F$32,2,FALSE),VLOOKUP(J$1,test!$A$3:$F$32,2,FALSE)),0)</f>
        <v>0</v>
      </c>
      <c r="K30">
        <f>IF(AND(SUM(VLOOKUP($A30,test!$A$3:$F$32,2,FALSE),VLOOKUP(K$1,test!$A$3:$F$32,2,FALSE))&lt;test!$K$16,$A30&lt;&gt;K$1,feasible_mat!K30=1),SUM(VLOOKUP($A30,test!$A$3:$F$32,2,FALSE),VLOOKUP(K$1,test!$A$3:$F$32,2,FALSE)),0)</f>
        <v>0</v>
      </c>
      <c r="L30">
        <f>IF(AND(SUM(VLOOKUP($A30,test!$A$3:$F$32,2,FALSE),VLOOKUP(L$1,test!$A$3:$F$32,2,FALSE))&lt;test!$K$16,$A30&lt;&gt;L$1,feasible_mat!L30=1),SUM(VLOOKUP($A30,test!$A$3:$F$32,2,FALSE),VLOOKUP(L$1,test!$A$3:$F$32,2,FALSE)),0)</f>
        <v>0</v>
      </c>
      <c r="M30">
        <f>IF(AND(SUM(VLOOKUP($A30,test!$A$3:$F$32,2,FALSE),VLOOKUP(M$1,test!$A$3:$F$32,2,FALSE))&lt;test!$K$16,$A30&lt;&gt;M$1,feasible_mat!M30=1),SUM(VLOOKUP($A30,test!$A$3:$F$32,2,FALSE),VLOOKUP(M$1,test!$A$3:$F$32,2,FALSE)),0)</f>
        <v>0</v>
      </c>
      <c r="N30">
        <f>IF(AND(SUM(VLOOKUP($A30,test!$A$3:$F$32,2,FALSE),VLOOKUP(N$1,test!$A$3:$F$32,2,FALSE))&lt;test!$K$16,$A30&lt;&gt;N$1,feasible_mat!N30=1),SUM(VLOOKUP($A30,test!$A$3:$F$32,2,FALSE),VLOOKUP(N$1,test!$A$3:$F$32,2,FALSE)),0)</f>
        <v>0</v>
      </c>
      <c r="O30">
        <f>IF(AND(SUM(VLOOKUP($A30,test!$A$3:$F$32,2,FALSE),VLOOKUP(O$1,test!$A$3:$F$32,2,FALSE))&lt;test!$K$16,$A30&lt;&gt;O$1,feasible_mat!O30=1),SUM(VLOOKUP($A30,test!$A$3:$F$32,2,FALSE),VLOOKUP(O$1,test!$A$3:$F$32,2,FALSE)),0)</f>
        <v>0</v>
      </c>
      <c r="P30">
        <f>IF(AND(SUM(VLOOKUP($A30,test!$A$3:$F$32,2,FALSE),VLOOKUP(P$1,test!$A$3:$F$32,2,FALSE))&lt;test!$K$16,$A30&lt;&gt;P$1,feasible_mat!P30=1),SUM(VLOOKUP($A30,test!$A$3:$F$32,2,FALSE),VLOOKUP(P$1,test!$A$3:$F$32,2,FALSE)),0)</f>
        <v>0</v>
      </c>
      <c r="Q30">
        <f>IF(AND(SUM(VLOOKUP($A30,test!$A$3:$F$32,2,FALSE),VLOOKUP(Q$1,test!$A$3:$F$32,2,FALSE))&lt;test!$K$16,$A30&lt;&gt;Q$1,feasible_mat!Q30=1),SUM(VLOOKUP($A30,test!$A$3:$F$32,2,FALSE),VLOOKUP(Q$1,test!$A$3:$F$32,2,FALSE)),0)</f>
        <v>0</v>
      </c>
      <c r="R30">
        <f>IF(AND(SUM(VLOOKUP($A30,test!$A$3:$F$32,2,FALSE),VLOOKUP(R$1,test!$A$3:$F$32,2,FALSE))&lt;test!$K$16,$A30&lt;&gt;R$1,feasible_mat!R30=1),SUM(VLOOKUP($A30,test!$A$3:$F$32,2,FALSE),VLOOKUP(R$1,test!$A$3:$F$32,2,FALSE)),0)</f>
        <v>0</v>
      </c>
      <c r="S30">
        <f>IF(AND(SUM(VLOOKUP($A30,test!$A$3:$F$32,2,FALSE),VLOOKUP(S$1,test!$A$3:$F$32,2,FALSE))&lt;test!$K$16,$A30&lt;&gt;S$1,feasible_mat!S30=1),SUM(VLOOKUP($A30,test!$A$3:$F$32,2,FALSE),VLOOKUP(S$1,test!$A$3:$F$32,2,FALSE)),0)</f>
        <v>0</v>
      </c>
      <c r="T30">
        <f>IF(AND(SUM(VLOOKUP($A30,test!$A$3:$F$32,2,FALSE),VLOOKUP(T$1,test!$A$3:$F$32,2,FALSE))&lt;test!$K$16,$A30&lt;&gt;T$1,feasible_mat!T30=1),SUM(VLOOKUP($A30,test!$A$3:$F$32,2,FALSE),VLOOKUP(T$1,test!$A$3:$F$32,2,FALSE)),0)</f>
        <v>0</v>
      </c>
      <c r="U30">
        <f>IF(AND(SUM(VLOOKUP($A30,test!$A$3:$F$32,2,FALSE),VLOOKUP(U$1,test!$A$3:$F$32,2,FALSE))&lt;test!$K$16,$A30&lt;&gt;U$1,feasible_mat!U30=1),SUM(VLOOKUP($A30,test!$A$3:$F$32,2,FALSE),VLOOKUP(U$1,test!$A$3:$F$32,2,FALSE)),0)</f>
        <v>0</v>
      </c>
      <c r="V30">
        <f>IF(AND(SUM(VLOOKUP($A30,test!$A$3:$F$32,2,FALSE),VLOOKUP(V$1,test!$A$3:$F$32,2,FALSE))&lt;test!$K$16,$A30&lt;&gt;V$1,feasible_mat!V30=1),SUM(VLOOKUP($A30,test!$A$3:$F$32,2,FALSE),VLOOKUP(V$1,test!$A$3:$F$32,2,FALSE)),0)</f>
        <v>0</v>
      </c>
      <c r="W30">
        <f>IF(AND(SUM(VLOOKUP($A30,test!$A$3:$F$32,2,FALSE),VLOOKUP(W$1,test!$A$3:$F$32,2,FALSE))&lt;test!$K$16,$A30&lt;&gt;W$1,feasible_mat!W30=1),SUM(VLOOKUP($A30,test!$A$3:$F$32,2,FALSE),VLOOKUP(W$1,test!$A$3:$F$32,2,FALSE)),0)</f>
        <v>0</v>
      </c>
      <c r="X30">
        <f>IF(AND(SUM(VLOOKUP($A30,test!$A$3:$F$32,2,FALSE),VLOOKUP(X$1,test!$A$3:$F$32,2,FALSE))&lt;test!$K$16,$A30&lt;&gt;X$1,feasible_mat!X30=1),SUM(VLOOKUP($A30,test!$A$3:$F$32,2,FALSE),VLOOKUP(X$1,test!$A$3:$F$32,2,FALSE)),0)</f>
        <v>0</v>
      </c>
      <c r="Y30">
        <f>IF(AND(SUM(VLOOKUP($A30,test!$A$3:$F$32,2,FALSE),VLOOKUP(Y$1,test!$A$3:$F$32,2,FALSE))&lt;test!$K$16,$A30&lt;&gt;Y$1,feasible_mat!Y30=1),SUM(VLOOKUP($A30,test!$A$3:$F$32,2,FALSE),VLOOKUP(Y$1,test!$A$3:$F$32,2,FALSE)),0)</f>
        <v>0</v>
      </c>
      <c r="Z30">
        <f>IF(AND(SUM(VLOOKUP($A30,test!$A$3:$F$32,2,FALSE),VLOOKUP(Z$1,test!$A$3:$F$32,2,FALSE))&lt;test!$K$16,$A30&lt;&gt;Z$1,feasible_mat!Z30=1),SUM(VLOOKUP($A30,test!$A$3:$F$32,2,FALSE),VLOOKUP(Z$1,test!$A$3:$F$32,2,FALSE)),0)</f>
        <v>0</v>
      </c>
      <c r="AA30">
        <f>IF(AND(SUM(VLOOKUP($A30,test!$A$3:$F$32,2,FALSE),VLOOKUP(AA$1,test!$A$3:$F$32,2,FALSE))&lt;test!$K$16,$A30&lt;&gt;AA$1,feasible_mat!AA30=1),SUM(VLOOKUP($A30,test!$A$3:$F$32,2,FALSE),VLOOKUP(AA$1,test!$A$3:$F$32,2,FALSE)),0)</f>
        <v>0</v>
      </c>
      <c r="AB30">
        <f>IF(AND(SUM(VLOOKUP($A30,test!$A$3:$F$32,2,FALSE),VLOOKUP(AB$1,test!$A$3:$F$32,2,FALSE))&lt;test!$K$16,$A30&lt;&gt;AB$1,feasible_mat!AB30=1),SUM(VLOOKUP($A30,test!$A$3:$F$32,2,FALSE),VLOOKUP(AB$1,test!$A$3:$F$32,2,FALSE)),0)</f>
        <v>0</v>
      </c>
      <c r="AC30">
        <f>IF(AND(SUM(VLOOKUP($A30,test!$A$3:$F$32,2,FALSE),VLOOKUP(AC$1,test!$A$3:$F$32,2,FALSE))&lt;test!$K$16,$A30&lt;&gt;AC$1,feasible_mat!AC30=1),SUM(VLOOKUP($A30,test!$A$3:$F$32,2,FALSE),VLOOKUP(AC$1,test!$A$3:$F$32,2,FALSE)),0)</f>
        <v>0</v>
      </c>
      <c r="AD30">
        <f>IF(AND(SUM(VLOOKUP($A30,test!$A$3:$F$32,2,FALSE),VLOOKUP(AD$1,test!$A$3:$F$32,2,FALSE))&lt;test!$K$16,$A30&lt;&gt;AD$1,feasible_mat!AD30=1),SUM(VLOOKUP($A30,test!$A$3:$F$32,2,FALSE),VLOOKUP(AD$1,test!$A$3:$F$32,2,FALSE)),0)</f>
        <v>0</v>
      </c>
      <c r="AE30">
        <f>IF(AND(SUM(VLOOKUP($A30,test!$A$3:$F$32,2,FALSE),VLOOKUP(AE$1,test!$A$3:$F$32,2,FALSE))&lt;test!$K$16,$A30&lt;&gt;AE$1,feasible_mat!AE30=1),SUM(VLOOKUP($A30,test!$A$3:$F$32,2,FALSE),VLOOKUP(AE$1,test!$A$3:$F$32,2,FALSE)),0)</f>
        <v>0</v>
      </c>
      <c r="AF30">
        <f>IF(AND(SUM(VLOOKUP($A30,test!$A$3:$F$32,2,FALSE),VLOOKUP(AF$1,test!$A$3:$F$32,2,FALSE))&lt;test!$K$16,$A30&lt;&gt;AF$1,feasible_mat!AF30=1),SUM(VLOOKUP($A30,test!$A$3:$F$32,2,FALSE),VLOOKUP(AF$1,test!$A$3:$F$32,2,FALSE)),0)</f>
        <v>0</v>
      </c>
      <c r="AG30">
        <v>60</v>
      </c>
      <c r="AH30">
        <v>75</v>
      </c>
      <c r="AI30">
        <v>70</v>
      </c>
    </row>
    <row r="31" spans="1:35" x14ac:dyDescent="0.25">
      <c r="A31" t="s">
        <v>40</v>
      </c>
      <c r="B31">
        <v>0</v>
      </c>
      <c r="C31">
        <f>IF(AND(SUM(VLOOKUP($A31,test!$A$3:$F$32,2,FALSE),VLOOKUP(C$1,test!$A$3:$F$32,2,FALSE))&lt;test!$K$16,$A31&lt;&gt;C$1,feasible_mat!C31=1),SUM(VLOOKUP($A31,test!$A$3:$F$32,2,FALSE),VLOOKUP(C$1,test!$A$3:$F$32,2,FALSE)),0)</f>
        <v>0</v>
      </c>
      <c r="D31">
        <f>IF(AND(SUM(VLOOKUP($A31,test!$A$3:$F$32,2,FALSE),VLOOKUP(D$1,test!$A$3:$F$32,2,FALSE))&lt;test!$K$16,$A31&lt;&gt;D$1,feasible_mat!D31=1),SUM(VLOOKUP($A31,test!$A$3:$F$32,2,FALSE),VLOOKUP(D$1,test!$A$3:$F$32,2,FALSE)),0)</f>
        <v>0</v>
      </c>
      <c r="E31">
        <f>IF(AND(SUM(VLOOKUP($A31,test!$A$3:$F$32,2,FALSE),VLOOKUP(E$1,test!$A$3:$F$32,2,FALSE))&lt;test!$K$16,$A31&lt;&gt;E$1,feasible_mat!E31=1),SUM(VLOOKUP($A31,test!$A$3:$F$32,2,FALSE),VLOOKUP(E$1,test!$A$3:$F$32,2,FALSE)),0)</f>
        <v>0</v>
      </c>
      <c r="F31">
        <f>IF(AND(SUM(VLOOKUP($A31,test!$A$3:$F$32,2,FALSE),VLOOKUP(F$1,test!$A$3:$F$32,2,FALSE))&lt;test!$K$16,$A31&lt;&gt;F$1,feasible_mat!F31=1),SUM(VLOOKUP($A31,test!$A$3:$F$32,2,FALSE),VLOOKUP(F$1,test!$A$3:$F$32,2,FALSE)),0)</f>
        <v>0</v>
      </c>
      <c r="G31">
        <f>IF(AND(SUM(VLOOKUP($A31,test!$A$3:$F$32,2,FALSE),VLOOKUP(G$1,test!$A$3:$F$32,2,FALSE))&lt;test!$K$16,$A31&lt;&gt;G$1,feasible_mat!G31=1),SUM(VLOOKUP($A31,test!$A$3:$F$32,2,FALSE),VLOOKUP(G$1,test!$A$3:$F$32,2,FALSE)),0)</f>
        <v>0</v>
      </c>
      <c r="H31">
        <f>IF(AND(SUM(VLOOKUP($A31,test!$A$3:$F$32,2,FALSE),VLOOKUP(H$1,test!$A$3:$F$32,2,FALSE))&lt;test!$K$16,$A31&lt;&gt;H$1,feasible_mat!H31=1),SUM(VLOOKUP($A31,test!$A$3:$F$32,2,FALSE),VLOOKUP(H$1,test!$A$3:$F$32,2,FALSE)),0)</f>
        <v>0</v>
      </c>
      <c r="I31">
        <f>IF(AND(SUM(VLOOKUP($A31,test!$A$3:$F$32,2,FALSE),VLOOKUP(I$1,test!$A$3:$F$32,2,FALSE))&lt;test!$K$16,$A31&lt;&gt;I$1,feasible_mat!I31=1),SUM(VLOOKUP($A31,test!$A$3:$F$32,2,FALSE),VLOOKUP(I$1,test!$A$3:$F$32,2,FALSE)),0)</f>
        <v>345</v>
      </c>
      <c r="J31">
        <f>IF(AND(SUM(VLOOKUP($A31,test!$A$3:$F$32,2,FALSE),VLOOKUP(J$1,test!$A$3:$F$32,2,FALSE))&lt;test!$K$16,$A31&lt;&gt;J$1,feasible_mat!J31=1),SUM(VLOOKUP($A31,test!$A$3:$F$32,2,FALSE),VLOOKUP(J$1,test!$A$3:$F$32,2,FALSE)),0)</f>
        <v>345</v>
      </c>
      <c r="K31">
        <f>IF(AND(SUM(VLOOKUP($A31,test!$A$3:$F$32,2,FALSE),VLOOKUP(K$1,test!$A$3:$F$32,2,FALSE))&lt;test!$K$16,$A31&lt;&gt;K$1,feasible_mat!K31=1),SUM(VLOOKUP($A31,test!$A$3:$F$32,2,FALSE),VLOOKUP(K$1,test!$A$3:$F$32,2,FALSE)),0)</f>
        <v>0</v>
      </c>
      <c r="L31">
        <f>IF(AND(SUM(VLOOKUP($A31,test!$A$3:$F$32,2,FALSE),VLOOKUP(L$1,test!$A$3:$F$32,2,FALSE))&lt;test!$K$16,$A31&lt;&gt;L$1,feasible_mat!L31=1),SUM(VLOOKUP($A31,test!$A$3:$F$32,2,FALSE),VLOOKUP(L$1,test!$A$3:$F$32,2,FALSE)),0)</f>
        <v>0</v>
      </c>
      <c r="M31">
        <f>IF(AND(SUM(VLOOKUP($A31,test!$A$3:$F$32,2,FALSE),VLOOKUP(M$1,test!$A$3:$F$32,2,FALSE))&lt;test!$K$16,$A31&lt;&gt;M$1,feasible_mat!M31=1),SUM(VLOOKUP($A31,test!$A$3:$F$32,2,FALSE),VLOOKUP(M$1,test!$A$3:$F$32,2,FALSE)),0)</f>
        <v>0</v>
      </c>
      <c r="N31">
        <f>IF(AND(SUM(VLOOKUP($A31,test!$A$3:$F$32,2,FALSE),VLOOKUP(N$1,test!$A$3:$F$32,2,FALSE))&lt;test!$K$16,$A31&lt;&gt;N$1,feasible_mat!N31=1),SUM(VLOOKUP($A31,test!$A$3:$F$32,2,FALSE),VLOOKUP(N$1,test!$A$3:$F$32,2,FALSE)),0)</f>
        <v>0</v>
      </c>
      <c r="O31">
        <f>IF(AND(SUM(VLOOKUP($A31,test!$A$3:$F$32,2,FALSE),VLOOKUP(O$1,test!$A$3:$F$32,2,FALSE))&lt;test!$K$16,$A31&lt;&gt;O$1,feasible_mat!O31=1),SUM(VLOOKUP($A31,test!$A$3:$F$32,2,FALSE),VLOOKUP(O$1,test!$A$3:$F$32,2,FALSE)),0)</f>
        <v>0</v>
      </c>
      <c r="P31">
        <f>IF(AND(SUM(VLOOKUP($A31,test!$A$3:$F$32,2,FALSE),VLOOKUP(P$1,test!$A$3:$F$32,2,FALSE))&lt;test!$K$16,$A31&lt;&gt;P$1,feasible_mat!P31=1),SUM(VLOOKUP($A31,test!$A$3:$F$32,2,FALSE),VLOOKUP(P$1,test!$A$3:$F$32,2,FALSE)),0)</f>
        <v>0</v>
      </c>
      <c r="Q31">
        <f>IF(AND(SUM(VLOOKUP($A31,test!$A$3:$F$32,2,FALSE),VLOOKUP(Q$1,test!$A$3:$F$32,2,FALSE))&lt;test!$K$16,$A31&lt;&gt;Q$1,feasible_mat!Q31=1),SUM(VLOOKUP($A31,test!$A$3:$F$32,2,FALSE),VLOOKUP(Q$1,test!$A$3:$F$32,2,FALSE)),0)</f>
        <v>0</v>
      </c>
      <c r="R31">
        <f>IF(AND(SUM(VLOOKUP($A31,test!$A$3:$F$32,2,FALSE),VLOOKUP(R$1,test!$A$3:$F$32,2,FALSE))&lt;test!$K$16,$A31&lt;&gt;R$1,feasible_mat!R31=1),SUM(VLOOKUP($A31,test!$A$3:$F$32,2,FALSE),VLOOKUP(R$1,test!$A$3:$F$32,2,FALSE)),0)</f>
        <v>0</v>
      </c>
      <c r="S31">
        <f>IF(AND(SUM(VLOOKUP($A31,test!$A$3:$F$32,2,FALSE),VLOOKUP(S$1,test!$A$3:$F$32,2,FALSE))&lt;test!$K$16,$A31&lt;&gt;S$1,feasible_mat!S31=1),SUM(VLOOKUP($A31,test!$A$3:$F$32,2,FALSE),VLOOKUP(S$1,test!$A$3:$F$32,2,FALSE)),0)</f>
        <v>0</v>
      </c>
      <c r="T31">
        <f>IF(AND(SUM(VLOOKUP($A31,test!$A$3:$F$32,2,FALSE),VLOOKUP(T$1,test!$A$3:$F$32,2,FALSE))&lt;test!$K$16,$A31&lt;&gt;T$1,feasible_mat!T31=1),SUM(VLOOKUP($A31,test!$A$3:$F$32,2,FALSE),VLOOKUP(T$1,test!$A$3:$F$32,2,FALSE)),0)</f>
        <v>0</v>
      </c>
      <c r="U31">
        <f>IF(AND(SUM(VLOOKUP($A31,test!$A$3:$F$32,2,FALSE),VLOOKUP(U$1,test!$A$3:$F$32,2,FALSE))&lt;test!$K$16,$A31&lt;&gt;U$1,feasible_mat!U31=1),SUM(VLOOKUP($A31,test!$A$3:$F$32,2,FALSE),VLOOKUP(U$1,test!$A$3:$F$32,2,FALSE)),0)</f>
        <v>0</v>
      </c>
      <c r="V31">
        <f>IF(AND(SUM(VLOOKUP($A31,test!$A$3:$F$32,2,FALSE),VLOOKUP(V$1,test!$A$3:$F$32,2,FALSE))&lt;test!$K$16,$A31&lt;&gt;V$1,feasible_mat!V31=1),SUM(VLOOKUP($A31,test!$A$3:$F$32,2,FALSE),VLOOKUP(V$1,test!$A$3:$F$32,2,FALSE)),0)</f>
        <v>0</v>
      </c>
      <c r="W31">
        <f>IF(AND(SUM(VLOOKUP($A31,test!$A$3:$F$32,2,FALSE),VLOOKUP(W$1,test!$A$3:$F$32,2,FALSE))&lt;test!$K$16,$A31&lt;&gt;W$1,feasible_mat!W31=1),SUM(VLOOKUP($A31,test!$A$3:$F$32,2,FALSE),VLOOKUP(W$1,test!$A$3:$F$32,2,FALSE)),0)</f>
        <v>0</v>
      </c>
      <c r="X31">
        <f>IF(AND(SUM(VLOOKUP($A31,test!$A$3:$F$32,2,FALSE),VLOOKUP(X$1,test!$A$3:$F$32,2,FALSE))&lt;test!$K$16,$A31&lt;&gt;X$1,feasible_mat!X31=1),SUM(VLOOKUP($A31,test!$A$3:$F$32,2,FALSE),VLOOKUP(X$1,test!$A$3:$F$32,2,FALSE)),0)</f>
        <v>0</v>
      </c>
      <c r="Y31">
        <f>IF(AND(SUM(VLOOKUP($A31,test!$A$3:$F$32,2,FALSE),VLOOKUP(Y$1,test!$A$3:$F$32,2,FALSE))&lt;test!$K$16,$A31&lt;&gt;Y$1,feasible_mat!Y31=1),SUM(VLOOKUP($A31,test!$A$3:$F$32,2,FALSE),VLOOKUP(Y$1,test!$A$3:$F$32,2,FALSE)),0)</f>
        <v>0</v>
      </c>
      <c r="Z31">
        <f>IF(AND(SUM(VLOOKUP($A31,test!$A$3:$F$32,2,FALSE),VLOOKUP(Z$1,test!$A$3:$F$32,2,FALSE))&lt;test!$K$16,$A31&lt;&gt;Z$1,feasible_mat!Z31=1),SUM(VLOOKUP($A31,test!$A$3:$F$32,2,FALSE),VLOOKUP(Z$1,test!$A$3:$F$32,2,FALSE)),0)</f>
        <v>0</v>
      </c>
      <c r="AA31">
        <f>IF(AND(SUM(VLOOKUP($A31,test!$A$3:$F$32,2,FALSE),VLOOKUP(AA$1,test!$A$3:$F$32,2,FALSE))&lt;test!$K$16,$A31&lt;&gt;AA$1,feasible_mat!AA31=1),SUM(VLOOKUP($A31,test!$A$3:$F$32,2,FALSE),VLOOKUP(AA$1,test!$A$3:$F$32,2,FALSE)),0)</f>
        <v>0</v>
      </c>
      <c r="AB31">
        <f>IF(AND(SUM(VLOOKUP($A31,test!$A$3:$F$32,2,FALSE),VLOOKUP(AB$1,test!$A$3:$F$32,2,FALSE))&lt;test!$K$16,$A31&lt;&gt;AB$1,feasible_mat!AB31=1),SUM(VLOOKUP($A31,test!$A$3:$F$32,2,FALSE),VLOOKUP(AB$1,test!$A$3:$F$32,2,FALSE)),0)</f>
        <v>0</v>
      </c>
      <c r="AC31">
        <f>IF(AND(SUM(VLOOKUP($A31,test!$A$3:$F$32,2,FALSE),VLOOKUP(AC$1,test!$A$3:$F$32,2,FALSE))&lt;test!$K$16,$A31&lt;&gt;AC$1,feasible_mat!AC31=1),SUM(VLOOKUP($A31,test!$A$3:$F$32,2,FALSE),VLOOKUP(AC$1,test!$A$3:$F$32,2,FALSE)),0)</f>
        <v>0</v>
      </c>
      <c r="AD31">
        <f>IF(AND(SUM(VLOOKUP($A31,test!$A$3:$F$32,2,FALSE),VLOOKUP(AD$1,test!$A$3:$F$32,2,FALSE))&lt;test!$K$16,$A31&lt;&gt;AD$1,feasible_mat!AD31=1),SUM(VLOOKUP($A31,test!$A$3:$F$32,2,FALSE),VLOOKUP(AD$1,test!$A$3:$F$32,2,FALSE)),0)</f>
        <v>0</v>
      </c>
      <c r="AE31">
        <f>IF(AND(SUM(VLOOKUP($A31,test!$A$3:$F$32,2,FALSE),VLOOKUP(AE$1,test!$A$3:$F$32,2,FALSE))&lt;test!$K$16,$A31&lt;&gt;AE$1,feasible_mat!AE31=1),SUM(VLOOKUP($A31,test!$A$3:$F$32,2,FALSE),VLOOKUP(AE$1,test!$A$3:$F$32,2,FALSE)),0)</f>
        <v>0</v>
      </c>
      <c r="AF31">
        <f>IF(AND(SUM(VLOOKUP($A31,test!$A$3:$F$32,2,FALSE),VLOOKUP(AF$1,test!$A$3:$F$32,2,FALSE))&lt;test!$K$16,$A31&lt;&gt;AF$1,feasible_mat!AF31=1),SUM(VLOOKUP($A31,test!$A$3:$F$32,2,FALSE),VLOOKUP(AF$1,test!$A$3:$F$32,2,FALSE)),0)</f>
        <v>0</v>
      </c>
      <c r="AG31">
        <v>60</v>
      </c>
      <c r="AH31">
        <v>75</v>
      </c>
      <c r="AI31">
        <v>70</v>
      </c>
    </row>
    <row r="32" spans="1:35" x14ac:dyDescent="0.25">
      <c r="A32" t="s">
        <v>41</v>
      </c>
      <c r="B32">
        <v>0</v>
      </c>
      <c r="C32">
        <f>IF(AND(SUM(VLOOKUP($A32,test!$A$3:$F$32,2,FALSE),VLOOKUP(C$1,test!$A$3:$F$32,2,FALSE))&lt;test!$K$16,$A32&lt;&gt;C$1,feasible_mat!C32=1),SUM(VLOOKUP($A32,test!$A$3:$F$32,2,FALSE),VLOOKUP(C$1,test!$A$3:$F$32,2,FALSE)),0)</f>
        <v>0</v>
      </c>
      <c r="D32">
        <f>IF(AND(SUM(VLOOKUP($A32,test!$A$3:$F$32,2,FALSE),VLOOKUP(D$1,test!$A$3:$F$32,2,FALSE))&lt;test!$K$16,$A32&lt;&gt;D$1,feasible_mat!D32=1),SUM(VLOOKUP($A32,test!$A$3:$F$32,2,FALSE),VLOOKUP(D$1,test!$A$3:$F$32,2,FALSE)),0)</f>
        <v>0</v>
      </c>
      <c r="E32">
        <f>IF(AND(SUM(VLOOKUP($A32,test!$A$3:$F$32,2,FALSE),VLOOKUP(E$1,test!$A$3:$F$32,2,FALSE))&lt;test!$K$16,$A32&lt;&gt;E$1,feasible_mat!E32=1),SUM(VLOOKUP($A32,test!$A$3:$F$32,2,FALSE),VLOOKUP(E$1,test!$A$3:$F$32,2,FALSE)),0)</f>
        <v>0</v>
      </c>
      <c r="F32">
        <f>IF(AND(SUM(VLOOKUP($A32,test!$A$3:$F$32,2,FALSE),VLOOKUP(F$1,test!$A$3:$F$32,2,FALSE))&lt;test!$K$16,$A32&lt;&gt;F$1,feasible_mat!F32=1),SUM(VLOOKUP($A32,test!$A$3:$F$32,2,FALSE),VLOOKUP(F$1,test!$A$3:$F$32,2,FALSE)),0)</f>
        <v>0</v>
      </c>
      <c r="G32">
        <f>IF(AND(SUM(VLOOKUP($A32,test!$A$3:$F$32,2,FALSE),VLOOKUP(G$1,test!$A$3:$F$32,2,FALSE))&lt;test!$K$16,$A32&lt;&gt;G$1,feasible_mat!G32=1),SUM(VLOOKUP($A32,test!$A$3:$F$32,2,FALSE),VLOOKUP(G$1,test!$A$3:$F$32,2,FALSE)),0)</f>
        <v>0</v>
      </c>
      <c r="H32">
        <f>IF(AND(SUM(VLOOKUP($A32,test!$A$3:$F$32,2,FALSE),VLOOKUP(H$1,test!$A$3:$F$32,2,FALSE))&lt;test!$K$16,$A32&lt;&gt;H$1,feasible_mat!H32=1),SUM(VLOOKUP($A32,test!$A$3:$F$32,2,FALSE),VLOOKUP(H$1,test!$A$3:$F$32,2,FALSE)),0)</f>
        <v>0</v>
      </c>
      <c r="I32">
        <f>IF(AND(SUM(VLOOKUP($A32,test!$A$3:$F$32,2,FALSE),VLOOKUP(I$1,test!$A$3:$F$32,2,FALSE))&lt;test!$K$16,$A32&lt;&gt;I$1,feasible_mat!I32=1),SUM(VLOOKUP($A32,test!$A$3:$F$32,2,FALSE),VLOOKUP(I$1,test!$A$3:$F$32,2,FALSE)),0)</f>
        <v>0</v>
      </c>
      <c r="J32">
        <f>IF(AND(SUM(VLOOKUP($A32,test!$A$3:$F$32,2,FALSE),VLOOKUP(J$1,test!$A$3:$F$32,2,FALSE))&lt;test!$K$16,$A32&lt;&gt;J$1,feasible_mat!J32=1),SUM(VLOOKUP($A32,test!$A$3:$F$32,2,FALSE),VLOOKUP(J$1,test!$A$3:$F$32,2,FALSE)),0)</f>
        <v>0</v>
      </c>
      <c r="K32">
        <f>IF(AND(SUM(VLOOKUP($A32,test!$A$3:$F$32,2,FALSE),VLOOKUP(K$1,test!$A$3:$F$32,2,FALSE))&lt;test!$K$16,$A32&lt;&gt;K$1,feasible_mat!K32=1),SUM(VLOOKUP($A32,test!$A$3:$F$32,2,FALSE),VLOOKUP(K$1,test!$A$3:$F$32,2,FALSE)),0)</f>
        <v>0</v>
      </c>
      <c r="L32">
        <f>IF(AND(SUM(VLOOKUP($A32,test!$A$3:$F$32,2,FALSE),VLOOKUP(L$1,test!$A$3:$F$32,2,FALSE))&lt;test!$K$16,$A32&lt;&gt;L$1,feasible_mat!L32=1),SUM(VLOOKUP($A32,test!$A$3:$F$32,2,FALSE),VLOOKUP(L$1,test!$A$3:$F$32,2,FALSE)),0)</f>
        <v>0</v>
      </c>
      <c r="M32">
        <f>IF(AND(SUM(VLOOKUP($A32,test!$A$3:$F$32,2,FALSE),VLOOKUP(M$1,test!$A$3:$F$32,2,FALSE))&lt;test!$K$16,$A32&lt;&gt;M$1,feasible_mat!M32=1),SUM(VLOOKUP($A32,test!$A$3:$F$32,2,FALSE),VLOOKUP(M$1,test!$A$3:$F$32,2,FALSE)),0)</f>
        <v>0</v>
      </c>
      <c r="N32">
        <f>IF(AND(SUM(VLOOKUP($A32,test!$A$3:$F$32,2,FALSE),VLOOKUP(N$1,test!$A$3:$F$32,2,FALSE))&lt;test!$K$16,$A32&lt;&gt;N$1,feasible_mat!N32=1),SUM(VLOOKUP($A32,test!$A$3:$F$32,2,FALSE),VLOOKUP(N$1,test!$A$3:$F$32,2,FALSE)),0)</f>
        <v>0</v>
      </c>
      <c r="O32">
        <f>IF(AND(SUM(VLOOKUP($A32,test!$A$3:$F$32,2,FALSE),VLOOKUP(O$1,test!$A$3:$F$32,2,FALSE))&lt;test!$K$16,$A32&lt;&gt;O$1,feasible_mat!O32=1),SUM(VLOOKUP($A32,test!$A$3:$F$32,2,FALSE),VLOOKUP(O$1,test!$A$3:$F$32,2,FALSE)),0)</f>
        <v>0</v>
      </c>
      <c r="P32">
        <f>IF(AND(SUM(VLOOKUP($A32,test!$A$3:$F$32,2,FALSE),VLOOKUP(P$1,test!$A$3:$F$32,2,FALSE))&lt;test!$K$16,$A32&lt;&gt;P$1,feasible_mat!P32=1),SUM(VLOOKUP($A32,test!$A$3:$F$32,2,FALSE),VLOOKUP(P$1,test!$A$3:$F$32,2,FALSE)),0)</f>
        <v>0</v>
      </c>
      <c r="Q32">
        <f>IF(AND(SUM(VLOOKUP($A32,test!$A$3:$F$32,2,FALSE),VLOOKUP(Q$1,test!$A$3:$F$32,2,FALSE))&lt;test!$K$16,$A32&lt;&gt;Q$1,feasible_mat!Q32=1),SUM(VLOOKUP($A32,test!$A$3:$F$32,2,FALSE),VLOOKUP(Q$1,test!$A$3:$F$32,2,FALSE)),0)</f>
        <v>0</v>
      </c>
      <c r="R32">
        <f>IF(AND(SUM(VLOOKUP($A32,test!$A$3:$F$32,2,FALSE),VLOOKUP(R$1,test!$A$3:$F$32,2,FALSE))&lt;test!$K$16,$A32&lt;&gt;R$1,feasible_mat!R32=1),SUM(VLOOKUP($A32,test!$A$3:$F$32,2,FALSE),VLOOKUP(R$1,test!$A$3:$F$32,2,FALSE)),0)</f>
        <v>0</v>
      </c>
      <c r="S32">
        <f>IF(AND(SUM(VLOOKUP($A32,test!$A$3:$F$32,2,FALSE),VLOOKUP(S$1,test!$A$3:$F$32,2,FALSE))&lt;test!$K$16,$A32&lt;&gt;S$1,feasible_mat!S32=1),SUM(VLOOKUP($A32,test!$A$3:$F$32,2,FALSE),VLOOKUP(S$1,test!$A$3:$F$32,2,FALSE)),0)</f>
        <v>0</v>
      </c>
      <c r="T32">
        <f>IF(AND(SUM(VLOOKUP($A32,test!$A$3:$F$32,2,FALSE),VLOOKUP(T$1,test!$A$3:$F$32,2,FALSE))&lt;test!$K$16,$A32&lt;&gt;T$1,feasible_mat!T32=1),SUM(VLOOKUP($A32,test!$A$3:$F$32,2,FALSE),VLOOKUP(T$1,test!$A$3:$F$32,2,FALSE)),0)</f>
        <v>0</v>
      </c>
      <c r="U32">
        <f>IF(AND(SUM(VLOOKUP($A32,test!$A$3:$F$32,2,FALSE),VLOOKUP(U$1,test!$A$3:$F$32,2,FALSE))&lt;test!$K$16,$A32&lt;&gt;U$1,feasible_mat!U32=1),SUM(VLOOKUP($A32,test!$A$3:$F$32,2,FALSE),VLOOKUP(U$1,test!$A$3:$F$32,2,FALSE)),0)</f>
        <v>0</v>
      </c>
      <c r="V32">
        <f>IF(AND(SUM(VLOOKUP($A32,test!$A$3:$F$32,2,FALSE),VLOOKUP(V$1,test!$A$3:$F$32,2,FALSE))&lt;test!$K$16,$A32&lt;&gt;V$1,feasible_mat!V32=1),SUM(VLOOKUP($A32,test!$A$3:$F$32,2,FALSE),VLOOKUP(V$1,test!$A$3:$F$32,2,FALSE)),0)</f>
        <v>0</v>
      </c>
      <c r="W32">
        <f>IF(AND(SUM(VLOOKUP($A32,test!$A$3:$F$32,2,FALSE),VLOOKUP(W$1,test!$A$3:$F$32,2,FALSE))&lt;test!$K$16,$A32&lt;&gt;W$1,feasible_mat!W32=1),SUM(VLOOKUP($A32,test!$A$3:$F$32,2,FALSE),VLOOKUP(W$1,test!$A$3:$F$32,2,FALSE)),0)</f>
        <v>0</v>
      </c>
      <c r="X32">
        <f>IF(AND(SUM(VLOOKUP($A32,test!$A$3:$F$32,2,FALSE),VLOOKUP(X$1,test!$A$3:$F$32,2,FALSE))&lt;test!$K$16,$A32&lt;&gt;X$1,feasible_mat!X32=1),SUM(VLOOKUP($A32,test!$A$3:$F$32,2,FALSE),VLOOKUP(X$1,test!$A$3:$F$32,2,FALSE)),0)</f>
        <v>0</v>
      </c>
      <c r="Y32">
        <f>IF(AND(SUM(VLOOKUP($A32,test!$A$3:$F$32,2,FALSE),VLOOKUP(Y$1,test!$A$3:$F$32,2,FALSE))&lt;test!$K$16,$A32&lt;&gt;Y$1,feasible_mat!Y32=1),SUM(VLOOKUP($A32,test!$A$3:$F$32,2,FALSE),VLOOKUP(Y$1,test!$A$3:$F$32,2,FALSE)),0)</f>
        <v>0</v>
      </c>
      <c r="Z32">
        <f>IF(AND(SUM(VLOOKUP($A32,test!$A$3:$F$32,2,FALSE),VLOOKUP(Z$1,test!$A$3:$F$32,2,FALSE))&lt;test!$K$16,$A32&lt;&gt;Z$1,feasible_mat!Z32=1),SUM(VLOOKUP($A32,test!$A$3:$F$32,2,FALSE),VLOOKUP(Z$1,test!$A$3:$F$32,2,FALSE)),0)</f>
        <v>0</v>
      </c>
      <c r="AA32">
        <f>IF(AND(SUM(VLOOKUP($A32,test!$A$3:$F$32,2,FALSE),VLOOKUP(AA$1,test!$A$3:$F$32,2,FALSE))&lt;test!$K$16,$A32&lt;&gt;AA$1,feasible_mat!AA32=1),SUM(VLOOKUP($A32,test!$A$3:$F$32,2,FALSE),VLOOKUP(AA$1,test!$A$3:$F$32,2,FALSE)),0)</f>
        <v>0</v>
      </c>
      <c r="AB32">
        <f>IF(AND(SUM(VLOOKUP($A32,test!$A$3:$F$32,2,FALSE),VLOOKUP(AB$1,test!$A$3:$F$32,2,FALSE))&lt;test!$K$16,$A32&lt;&gt;AB$1,feasible_mat!AB32=1),SUM(VLOOKUP($A32,test!$A$3:$F$32,2,FALSE),VLOOKUP(AB$1,test!$A$3:$F$32,2,FALSE)),0)</f>
        <v>0</v>
      </c>
      <c r="AC32">
        <f>IF(AND(SUM(VLOOKUP($A32,test!$A$3:$F$32,2,FALSE),VLOOKUP(AC$1,test!$A$3:$F$32,2,FALSE))&lt;test!$K$16,$A32&lt;&gt;AC$1,feasible_mat!AC32=1),SUM(VLOOKUP($A32,test!$A$3:$F$32,2,FALSE),VLOOKUP(AC$1,test!$A$3:$F$32,2,FALSE)),0)</f>
        <v>0</v>
      </c>
      <c r="AD32">
        <f>IF(AND(SUM(VLOOKUP($A32,test!$A$3:$F$32,2,FALSE),VLOOKUP(AD$1,test!$A$3:$F$32,2,FALSE))&lt;test!$K$16,$A32&lt;&gt;AD$1,feasible_mat!AD32=1),SUM(VLOOKUP($A32,test!$A$3:$F$32,2,FALSE),VLOOKUP(AD$1,test!$A$3:$F$32,2,FALSE)),0)</f>
        <v>0</v>
      </c>
      <c r="AE32">
        <f>IF(AND(SUM(VLOOKUP($A32,test!$A$3:$F$32,2,FALSE),VLOOKUP(AE$1,test!$A$3:$F$32,2,FALSE))&lt;test!$K$16,$A32&lt;&gt;AE$1,feasible_mat!AE32=1),SUM(VLOOKUP($A32,test!$A$3:$F$32,2,FALSE),VLOOKUP(AE$1,test!$A$3:$F$32,2,FALSE)),0)</f>
        <v>0</v>
      </c>
      <c r="AF32">
        <f>IF(AND(SUM(VLOOKUP($A32,test!$A$3:$F$32,2,FALSE),VLOOKUP(AF$1,test!$A$3:$F$32,2,FALSE))&lt;test!$K$16,$A32&lt;&gt;AF$1,feasible_mat!AF32=1),SUM(VLOOKUP($A32,test!$A$3:$F$32,2,FALSE),VLOOKUP(AF$1,test!$A$3:$F$32,2,FALSE)),0)</f>
        <v>0</v>
      </c>
      <c r="AG32">
        <v>60</v>
      </c>
      <c r="AH32">
        <v>75</v>
      </c>
      <c r="AI32">
        <v>70</v>
      </c>
    </row>
    <row r="33" spans="1:35" x14ac:dyDescent="0.25">
      <c r="A33" t="s">
        <v>49</v>
      </c>
      <c r="B33">
        <v>0</v>
      </c>
      <c r="C33">
        <v>60</v>
      </c>
      <c r="D33">
        <v>60</v>
      </c>
      <c r="E33">
        <v>60</v>
      </c>
      <c r="F33">
        <v>60</v>
      </c>
      <c r="G33">
        <v>60</v>
      </c>
      <c r="H33">
        <v>60</v>
      </c>
      <c r="I33">
        <v>60</v>
      </c>
      <c r="J33">
        <v>60</v>
      </c>
      <c r="K33">
        <v>60</v>
      </c>
      <c r="L33">
        <v>60</v>
      </c>
      <c r="M33">
        <v>60</v>
      </c>
      <c r="N33">
        <v>60</v>
      </c>
      <c r="O33">
        <v>60</v>
      </c>
      <c r="P33">
        <v>60</v>
      </c>
      <c r="Q33">
        <v>60</v>
      </c>
      <c r="R33">
        <v>60</v>
      </c>
      <c r="S33">
        <v>60</v>
      </c>
      <c r="T33">
        <v>60</v>
      </c>
      <c r="U33">
        <v>60</v>
      </c>
      <c r="V33">
        <v>60</v>
      </c>
      <c r="W33">
        <v>60</v>
      </c>
      <c r="X33">
        <v>60</v>
      </c>
      <c r="Y33">
        <v>60</v>
      </c>
      <c r="Z33">
        <v>60</v>
      </c>
      <c r="AA33">
        <v>60</v>
      </c>
      <c r="AB33">
        <v>60</v>
      </c>
      <c r="AC33">
        <v>60</v>
      </c>
      <c r="AD33">
        <v>60</v>
      </c>
      <c r="AE33">
        <v>60</v>
      </c>
      <c r="AF33">
        <v>60</v>
      </c>
      <c r="AG33">
        <v>0</v>
      </c>
      <c r="AH33">
        <v>0</v>
      </c>
      <c r="AI33">
        <v>0</v>
      </c>
    </row>
    <row r="34" spans="1:35" x14ac:dyDescent="0.25">
      <c r="A34" t="s">
        <v>59</v>
      </c>
      <c r="B34">
        <v>0</v>
      </c>
      <c r="C34">
        <v>75</v>
      </c>
      <c r="D34">
        <v>75</v>
      </c>
      <c r="E34">
        <v>75</v>
      </c>
      <c r="F34">
        <v>75</v>
      </c>
      <c r="G34">
        <v>75</v>
      </c>
      <c r="H34">
        <v>75</v>
      </c>
      <c r="I34">
        <v>75</v>
      </c>
      <c r="J34">
        <v>75</v>
      </c>
      <c r="K34">
        <v>75</v>
      </c>
      <c r="L34">
        <v>75</v>
      </c>
      <c r="M34">
        <v>75</v>
      </c>
      <c r="N34">
        <v>75</v>
      </c>
      <c r="O34">
        <v>75</v>
      </c>
      <c r="P34">
        <v>75</v>
      </c>
      <c r="Q34">
        <v>75</v>
      </c>
      <c r="R34">
        <v>75</v>
      </c>
      <c r="S34">
        <v>75</v>
      </c>
      <c r="T34">
        <v>75</v>
      </c>
      <c r="U34">
        <v>75</v>
      </c>
      <c r="V34">
        <v>75</v>
      </c>
      <c r="W34">
        <v>75</v>
      </c>
      <c r="X34">
        <v>75</v>
      </c>
      <c r="Y34">
        <v>75</v>
      </c>
      <c r="Z34">
        <v>75</v>
      </c>
      <c r="AA34">
        <v>75</v>
      </c>
      <c r="AB34">
        <v>75</v>
      </c>
      <c r="AC34">
        <v>75</v>
      </c>
      <c r="AD34">
        <v>75</v>
      </c>
      <c r="AE34">
        <v>75</v>
      </c>
      <c r="AF34">
        <v>75</v>
      </c>
      <c r="AG34">
        <v>0</v>
      </c>
      <c r="AH34">
        <v>0</v>
      </c>
      <c r="AI34">
        <v>0</v>
      </c>
    </row>
    <row r="35" spans="1:35" x14ac:dyDescent="0.25">
      <c r="A35" t="s">
        <v>60</v>
      </c>
      <c r="B35">
        <v>0</v>
      </c>
      <c r="C35">
        <v>70</v>
      </c>
      <c r="D35">
        <v>70</v>
      </c>
      <c r="E35">
        <v>70</v>
      </c>
      <c r="F35">
        <v>70</v>
      </c>
      <c r="G35">
        <v>70</v>
      </c>
      <c r="H35">
        <v>70</v>
      </c>
      <c r="I35">
        <v>70</v>
      </c>
      <c r="J35">
        <v>70</v>
      </c>
      <c r="K35">
        <v>70</v>
      </c>
      <c r="L35">
        <v>70</v>
      </c>
      <c r="M35">
        <v>70</v>
      </c>
      <c r="N35">
        <v>70</v>
      </c>
      <c r="O35">
        <v>70</v>
      </c>
      <c r="P35">
        <v>70</v>
      </c>
      <c r="Q35">
        <v>70</v>
      </c>
      <c r="R35">
        <v>70</v>
      </c>
      <c r="S35">
        <v>70</v>
      </c>
      <c r="T35">
        <v>70</v>
      </c>
      <c r="U35">
        <v>70</v>
      </c>
      <c r="V35">
        <v>70</v>
      </c>
      <c r="W35">
        <v>70</v>
      </c>
      <c r="X35">
        <v>70</v>
      </c>
      <c r="Y35">
        <v>70</v>
      </c>
      <c r="Z35">
        <v>70</v>
      </c>
      <c r="AA35">
        <v>70</v>
      </c>
      <c r="AB35">
        <v>70</v>
      </c>
      <c r="AC35">
        <v>70</v>
      </c>
      <c r="AD35">
        <v>70</v>
      </c>
      <c r="AE35">
        <v>70</v>
      </c>
      <c r="AF35">
        <v>70</v>
      </c>
      <c r="AG35">
        <v>0</v>
      </c>
      <c r="AH35">
        <v>0</v>
      </c>
      <c r="AI35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0CDAC-5966-4CFE-9AEA-0357830988F2}">
  <dimension ref="A1:AH94"/>
  <sheetViews>
    <sheetView workbookViewId="0">
      <selection activeCell="AG63" sqref="AG63"/>
    </sheetView>
  </sheetViews>
  <sheetFormatPr defaultRowHeight="15" x14ac:dyDescent="0.25"/>
  <sheetData>
    <row r="1" spans="1:34" x14ac:dyDescent="0.25">
      <c r="A1" t="s">
        <v>61</v>
      </c>
      <c r="C1" t="s">
        <v>47</v>
      </c>
      <c r="D1" t="s">
        <v>6</v>
      </c>
      <c r="E1" t="s">
        <v>9</v>
      </c>
      <c r="F1" t="s">
        <v>10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  <c r="L1" t="s">
        <v>18</v>
      </c>
      <c r="M1" t="s">
        <v>20</v>
      </c>
      <c r="N1" t="s">
        <v>21</v>
      </c>
      <c r="O1" t="s">
        <v>22</v>
      </c>
      <c r="P1" t="s">
        <v>23</v>
      </c>
      <c r="Q1" t="s">
        <v>24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38</v>
      </c>
      <c r="AE1" t="s">
        <v>39</v>
      </c>
      <c r="AF1" t="s">
        <v>40</v>
      </c>
      <c r="AG1" t="s">
        <v>41</v>
      </c>
    </row>
    <row r="2" spans="1:34" x14ac:dyDescent="0.25">
      <c r="A2" t="s">
        <v>49</v>
      </c>
      <c r="B2" t="s">
        <v>47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4"/>
    </row>
    <row r="3" spans="1:34" x14ac:dyDescent="0.25">
      <c r="A3" t="s">
        <v>49</v>
      </c>
      <c r="B3" t="s">
        <v>6</v>
      </c>
      <c r="C3">
        <v>0</v>
      </c>
      <c r="D3" s="3">
        <f>IF(AND(VLOOKUP(D$1,test!$A$3:$F$32,5,FALSE) - VLOOKUP($B3,test!$A$3:$G$32,6,FALSE) &gt;= (test!$B$33)/1440),1,0)</f>
        <v>0</v>
      </c>
      <c r="E3" s="3">
        <f>IF(AND(VLOOKUP(E$1,test!$A$3:$F$32,5,FALSE) - VLOOKUP($B3,test!$A$3:$G$32,6,FALSE) &gt;= (test!$B$33)/1440),1,0)</f>
        <v>0</v>
      </c>
      <c r="F3" s="3">
        <f>IF(AND(VLOOKUP(F$1,test!$A$3:$F$32,5,FALSE) - VLOOKUP($B3,test!$A$3:$G$32,6,FALSE) &gt;= (test!$B$33)/1440),1,0)</f>
        <v>1</v>
      </c>
      <c r="G3" s="3">
        <f>IF(AND(VLOOKUP(G$1,test!$A$3:$F$32,5,FALSE) - VLOOKUP($B3,test!$A$3:$G$32,6,FALSE) &gt;= (test!$B$33)/1440),1,0)</f>
        <v>1</v>
      </c>
      <c r="H3" s="3">
        <f>IF(AND(VLOOKUP(H$1,test!$A$3:$F$32,5,FALSE) - VLOOKUP($B3,test!$A$3:$G$32,6,FALSE) &gt;= (test!$B$33)/1440),1,0)</f>
        <v>1</v>
      </c>
      <c r="I3" s="3">
        <f>IF(AND(VLOOKUP(I$1,test!$A$3:$F$32,5,FALSE) - VLOOKUP($B3,test!$A$3:$G$32,6,FALSE) &gt;= (test!$B$33)/1440),1,0)</f>
        <v>1</v>
      </c>
      <c r="J3" s="3">
        <f>IF(AND(VLOOKUP(J$1,test!$A$3:$F$32,5,FALSE) - VLOOKUP($B3,test!$A$3:$G$32,6,FALSE) &gt;= (test!$B$33)/1440),1,0)</f>
        <v>1</v>
      </c>
      <c r="K3" s="3">
        <f>IF(AND(VLOOKUP(K$1,test!$A$3:$F$32,5,FALSE) - VLOOKUP($B3,test!$A$3:$G$32,6,FALSE) &gt;= (test!$B$33)/1440),1,0)</f>
        <v>1</v>
      </c>
      <c r="L3" s="3">
        <f>IF(AND(VLOOKUP(L$1,test!$A$3:$F$32,5,FALSE) - VLOOKUP($B3,test!$A$3:$G$32,6,FALSE) &gt;= (test!$B$33)/1440),1,0)</f>
        <v>0</v>
      </c>
      <c r="M3" s="3">
        <f>IF(AND(VLOOKUP(M$1,test!$A$3:$F$32,5,FALSE) - VLOOKUP($B3,test!$A$3:$G$32,6,FALSE) &gt;= (test!$B$33)/1440),1,0)</f>
        <v>0</v>
      </c>
      <c r="N3" s="3">
        <f>IF(AND(VLOOKUP(N$1,test!$A$3:$F$32,5,FALSE) - VLOOKUP($B3,test!$A$3:$G$32,6,FALSE) &gt;= (test!$B$33)/1440),1,0)</f>
        <v>1</v>
      </c>
      <c r="O3" s="3">
        <f>IF(AND(VLOOKUP(O$1,test!$A$3:$F$32,5,FALSE) - VLOOKUP($B3,test!$A$3:$G$32,6,FALSE) &gt;= (test!$B$33)/1440),1,0)</f>
        <v>1</v>
      </c>
      <c r="P3" s="3">
        <f>IF(AND(VLOOKUP(P$1,test!$A$3:$F$32,5,FALSE) - VLOOKUP($B3,test!$A$3:$G$32,6,FALSE) &gt;= (test!$B$33)/1440),1,0)</f>
        <v>1</v>
      </c>
      <c r="Q3" s="3">
        <f>IF(AND(VLOOKUP(Q$1,test!$A$3:$F$32,5,FALSE) - VLOOKUP($B3,test!$A$3:$G$32,6,FALSE) &gt;= (test!$B$33)/1440),1,0)</f>
        <v>0</v>
      </c>
      <c r="R3" s="3">
        <f>IF(AND(VLOOKUP(R$1,test!$A$3:$F$32,5,FALSE) - VLOOKUP($B3,test!$A$3:$G$32,6,FALSE) &gt;= (test!$B$33)/1440),1,0)</f>
        <v>0</v>
      </c>
      <c r="S3" s="3">
        <f>IF(AND(VLOOKUP(S$1,test!$A$3:$F$32,5,FALSE) - VLOOKUP($B3,test!$A$3:$G$32,6,FALSE) &gt;= (test!$B$33)/1440),1,0)</f>
        <v>0</v>
      </c>
      <c r="T3" s="3">
        <f>IF(AND(VLOOKUP(T$1,test!$A$3:$F$32,5,FALSE) - VLOOKUP($B3,test!$A$3:$G$32,6,FALSE) &gt;= (test!$B$33)/1440),1,0)</f>
        <v>0</v>
      </c>
      <c r="U3" s="3">
        <f>IF(AND(VLOOKUP(U$1,test!$A$3:$F$32,5,FALSE) - VLOOKUP($B3,test!$A$3:$G$32,6,FALSE) &gt;= (test!$B$33)/1440),1,0)</f>
        <v>1</v>
      </c>
      <c r="V3" s="3">
        <f>IF(AND(VLOOKUP(V$1,test!$A$3:$F$32,5,FALSE) - VLOOKUP($B3,test!$A$3:$G$32,6,FALSE) &gt;= (test!$B$33)/1440),1,0)</f>
        <v>1</v>
      </c>
      <c r="W3" s="3">
        <f>IF(AND(VLOOKUP(W$1,test!$A$3:$F$32,5,FALSE) - VLOOKUP($B3,test!$A$3:$G$32,6,FALSE) &gt;= (test!$B$33)/1440),1,0)</f>
        <v>1</v>
      </c>
      <c r="X3" s="3">
        <f>IF(AND(VLOOKUP(X$1,test!$A$3:$F$32,5,FALSE) - VLOOKUP($B3,test!$A$3:$G$32,6,FALSE) &gt;= (test!$B$33)/1440),1,0)</f>
        <v>1</v>
      </c>
      <c r="Y3" s="3">
        <f>IF(AND(VLOOKUP(Y$1,test!$A$3:$F$32,5,FALSE) - VLOOKUP($B3,test!$A$3:$G$32,6,FALSE) &gt;= (test!$B$33)/1440),1,0)</f>
        <v>1</v>
      </c>
      <c r="Z3" s="3">
        <f>IF(AND(VLOOKUP(Z$1,test!$A$3:$F$32,5,FALSE) - VLOOKUP($B3,test!$A$3:$G$32,6,FALSE) &gt;= (test!$B$33)/1440),1,0)</f>
        <v>0</v>
      </c>
      <c r="AA3" s="3">
        <f>IF(AND(VLOOKUP(AA$1,test!$A$3:$F$32,5,FALSE) - VLOOKUP($B3,test!$A$3:$G$32,6,FALSE) &gt;= (test!$B$33)/1440),1,0)</f>
        <v>0</v>
      </c>
      <c r="AB3" s="3">
        <f>IF(AND(VLOOKUP(AB$1,test!$A$3:$F$32,5,FALSE) - VLOOKUP($B3,test!$A$3:$G$32,6,FALSE) &gt;= (test!$B$33)/1440),1,0)</f>
        <v>1</v>
      </c>
      <c r="AC3" s="3">
        <f>IF(AND(VLOOKUP(AC$1,test!$A$3:$F$32,5,FALSE) - VLOOKUP($B3,test!$A$3:$G$32,6,FALSE) &gt;= (test!$B$33)/1440),1,0)</f>
        <v>1</v>
      </c>
      <c r="AD3" s="3">
        <f>IF(AND(VLOOKUP(AD$1,test!$A$3:$F$32,5,FALSE) - VLOOKUP($B3,test!$A$3:$G$32,6,FALSE) &gt;= (test!$B$33)/1440),1,0)</f>
        <v>1</v>
      </c>
      <c r="AE3" s="3">
        <f>IF(AND(VLOOKUP(AE$1,test!$A$3:$F$32,5,FALSE) - VLOOKUP($B3,test!$A$3:$G$32,6,FALSE) &gt;= (test!$B$33)/1440),1,0)</f>
        <v>0</v>
      </c>
      <c r="AF3" s="3">
        <f>IF(AND(VLOOKUP(AF$1,test!$A$3:$F$32,5,FALSE) - VLOOKUP($B3,test!$A$3:$G$32,6,FALSE) &gt;= (test!$B$33)/1440),1,0)</f>
        <v>1</v>
      </c>
      <c r="AG3" s="3">
        <f>IF(AND(VLOOKUP(AG$1,test!$A$3:$F$32,5,FALSE) - VLOOKUP($B3,test!$A$3:$G$32,6,FALSE) &gt;= (test!$B$33)/1440),1,0)</f>
        <v>1</v>
      </c>
    </row>
    <row r="4" spans="1:34" x14ac:dyDescent="0.25">
      <c r="A4" t="s">
        <v>49</v>
      </c>
      <c r="B4" t="s">
        <v>9</v>
      </c>
      <c r="C4">
        <v>0</v>
      </c>
      <c r="D4" s="3">
        <f>IF(AND(VLOOKUP(D$1,test!$A$3:$F$32,5,FALSE) - VLOOKUP($B4,test!$A$3:$G$32,6,FALSE) &gt;= (test!$B$33)/1440),1,0)</f>
        <v>0</v>
      </c>
      <c r="E4" s="3">
        <f>IF(AND(VLOOKUP(E$1,test!$A$3:$F$32,5,FALSE) - VLOOKUP($B4,test!$A$3:$G$32,6,FALSE) &gt;= (test!$B$33)/1440),1,0)</f>
        <v>0</v>
      </c>
      <c r="F4" s="3">
        <f>IF(AND(VLOOKUP(F$1,test!$A$3:$F$32,5,FALSE) - VLOOKUP($B4,test!$A$3:$G$32,6,FALSE) &gt;= (test!$B$33)/1440),1,0)</f>
        <v>0</v>
      </c>
      <c r="G4" s="3">
        <f>IF(AND(VLOOKUP(G$1,test!$A$3:$F$32,5,FALSE) - VLOOKUP($B4,test!$A$3:$G$32,6,FALSE) &gt;= (test!$B$33)/1440),1,0)</f>
        <v>0</v>
      </c>
      <c r="H4" s="3">
        <f>IF(AND(VLOOKUP(H$1,test!$A$3:$F$32,5,FALSE) - VLOOKUP($B4,test!$A$3:$G$32,6,FALSE) &gt;= (test!$B$33)/1440),1,0)</f>
        <v>1</v>
      </c>
      <c r="I4" s="3">
        <f>IF(AND(VLOOKUP(I$1,test!$A$3:$F$32,5,FALSE) - VLOOKUP($B4,test!$A$3:$G$32,6,FALSE) &gt;= (test!$B$33)/1440),1,0)</f>
        <v>1</v>
      </c>
      <c r="J4" s="3">
        <f>IF(AND(VLOOKUP(J$1,test!$A$3:$F$32,5,FALSE) - VLOOKUP($B4,test!$A$3:$G$32,6,FALSE) &gt;= (test!$B$33)/1440),1,0)</f>
        <v>1</v>
      </c>
      <c r="K4" s="3">
        <f>IF(AND(VLOOKUP(K$1,test!$A$3:$F$32,5,FALSE) - VLOOKUP($B4,test!$A$3:$G$32,6,FALSE) &gt;= (test!$B$33)/1440),1,0)</f>
        <v>1</v>
      </c>
      <c r="L4" s="3">
        <f>IF(AND(VLOOKUP(L$1,test!$A$3:$F$32,5,FALSE) - VLOOKUP($B4,test!$A$3:$G$32,6,FALSE) &gt;= (test!$B$33)/1440),1,0)</f>
        <v>0</v>
      </c>
      <c r="M4" s="3">
        <f>IF(AND(VLOOKUP(M$1,test!$A$3:$F$32,5,FALSE) - VLOOKUP($B4,test!$A$3:$G$32,6,FALSE) &gt;= (test!$B$33)/1440),1,0)</f>
        <v>0</v>
      </c>
      <c r="N4" s="3">
        <f>IF(AND(VLOOKUP(N$1,test!$A$3:$F$32,5,FALSE) - VLOOKUP($B4,test!$A$3:$G$32,6,FALSE) &gt;= (test!$B$33)/1440),1,0)</f>
        <v>0</v>
      </c>
      <c r="O4" s="3">
        <f>IF(AND(VLOOKUP(O$1,test!$A$3:$F$32,5,FALSE) - VLOOKUP($B4,test!$A$3:$G$32,6,FALSE) &gt;= (test!$B$33)/1440),1,0)</f>
        <v>1</v>
      </c>
      <c r="P4" s="3">
        <f>IF(AND(VLOOKUP(P$1,test!$A$3:$F$32,5,FALSE) - VLOOKUP($B4,test!$A$3:$G$32,6,FALSE) &gt;= (test!$B$33)/1440),1,0)</f>
        <v>1</v>
      </c>
      <c r="Q4" s="3">
        <f>IF(AND(VLOOKUP(Q$1,test!$A$3:$F$32,5,FALSE) - VLOOKUP($B4,test!$A$3:$G$32,6,FALSE) &gt;= (test!$B$33)/1440),1,0)</f>
        <v>0</v>
      </c>
      <c r="R4" s="3">
        <f>IF(AND(VLOOKUP(R$1,test!$A$3:$F$32,5,FALSE) - VLOOKUP($B4,test!$A$3:$G$32,6,FALSE) &gt;= (test!$B$33)/1440),1,0)</f>
        <v>0</v>
      </c>
      <c r="S4" s="3">
        <f>IF(AND(VLOOKUP(S$1,test!$A$3:$F$32,5,FALSE) - VLOOKUP($B4,test!$A$3:$G$32,6,FALSE) &gt;= (test!$B$33)/1440),1,0)</f>
        <v>0</v>
      </c>
      <c r="T4" s="3">
        <f>IF(AND(VLOOKUP(T$1,test!$A$3:$F$32,5,FALSE) - VLOOKUP($B4,test!$A$3:$G$32,6,FALSE) &gt;= (test!$B$33)/1440),1,0)</f>
        <v>0</v>
      </c>
      <c r="U4" s="3">
        <f>IF(AND(VLOOKUP(U$1,test!$A$3:$F$32,5,FALSE) - VLOOKUP($B4,test!$A$3:$G$32,6,FALSE) &gt;= (test!$B$33)/1440),1,0)</f>
        <v>0</v>
      </c>
      <c r="V4" s="3">
        <f>IF(AND(VLOOKUP(V$1,test!$A$3:$F$32,5,FALSE) - VLOOKUP($B4,test!$A$3:$G$32,6,FALSE) &gt;= (test!$B$33)/1440),1,0)</f>
        <v>0</v>
      </c>
      <c r="W4" s="3">
        <f>IF(AND(VLOOKUP(W$1,test!$A$3:$F$32,5,FALSE) - VLOOKUP($B4,test!$A$3:$G$32,6,FALSE) &gt;= (test!$B$33)/1440),1,0)</f>
        <v>1</v>
      </c>
      <c r="X4" s="3">
        <f>IF(AND(VLOOKUP(X$1,test!$A$3:$F$32,5,FALSE) - VLOOKUP($B4,test!$A$3:$G$32,6,FALSE) &gt;= (test!$B$33)/1440),1,0)</f>
        <v>1</v>
      </c>
      <c r="Y4" s="3">
        <f>IF(AND(VLOOKUP(Y$1,test!$A$3:$F$32,5,FALSE) - VLOOKUP($B4,test!$A$3:$G$32,6,FALSE) &gt;= (test!$B$33)/1440),1,0)</f>
        <v>1</v>
      </c>
      <c r="Z4" s="3">
        <f>IF(AND(VLOOKUP(Z$1,test!$A$3:$F$32,5,FALSE) - VLOOKUP($B4,test!$A$3:$G$32,6,FALSE) &gt;= (test!$B$33)/1440),1,0)</f>
        <v>0</v>
      </c>
      <c r="AA4" s="3">
        <f>IF(AND(VLOOKUP(AA$1,test!$A$3:$F$32,5,FALSE) - VLOOKUP($B4,test!$A$3:$G$32,6,FALSE) &gt;= (test!$B$33)/1440),1,0)</f>
        <v>0</v>
      </c>
      <c r="AB4" s="3">
        <f>IF(AND(VLOOKUP(AB$1,test!$A$3:$F$32,5,FALSE) - VLOOKUP($B4,test!$A$3:$G$32,6,FALSE) &gt;= (test!$B$33)/1440),1,0)</f>
        <v>0</v>
      </c>
      <c r="AC4" s="3">
        <f>IF(AND(VLOOKUP(AC$1,test!$A$3:$F$32,5,FALSE) - VLOOKUP($B4,test!$A$3:$G$32,6,FALSE) &gt;= (test!$B$33)/1440),1,0)</f>
        <v>0</v>
      </c>
      <c r="AD4" s="3">
        <f>IF(AND(VLOOKUP(AD$1,test!$A$3:$F$32,5,FALSE) - VLOOKUP($B4,test!$A$3:$G$32,6,FALSE) &gt;= (test!$B$33)/1440),1,0)</f>
        <v>1</v>
      </c>
      <c r="AE4" s="3">
        <f>IF(AND(VLOOKUP(AE$1,test!$A$3:$F$32,5,FALSE) - VLOOKUP($B4,test!$A$3:$G$32,6,FALSE) &gt;= (test!$B$33)/1440),1,0)</f>
        <v>0</v>
      </c>
      <c r="AF4" s="3">
        <f>IF(AND(VLOOKUP(AF$1,test!$A$3:$F$32,5,FALSE) - VLOOKUP($B4,test!$A$3:$G$32,6,FALSE) &gt;= (test!$B$33)/1440),1,0)</f>
        <v>0</v>
      </c>
      <c r="AG4" s="3">
        <f>IF(AND(VLOOKUP(AG$1,test!$A$3:$F$32,5,FALSE) - VLOOKUP($B4,test!$A$3:$G$32,6,FALSE) &gt;= (test!$B$33)/1440),1,0)</f>
        <v>0</v>
      </c>
    </row>
    <row r="5" spans="1:34" x14ac:dyDescent="0.25">
      <c r="A5" t="s">
        <v>49</v>
      </c>
      <c r="B5" t="s">
        <v>10</v>
      </c>
      <c r="C5">
        <v>0</v>
      </c>
      <c r="D5" s="3">
        <f>IF(AND(VLOOKUP(D$1,test!$A$3:$F$32,5,FALSE) - VLOOKUP($B5,test!$A$3:$G$32,6,FALSE) &gt;= (test!$B$33)/1440),1,0)</f>
        <v>0</v>
      </c>
      <c r="E5" s="3">
        <f>IF(AND(VLOOKUP(E$1,test!$A$3:$F$32,5,FALSE) - VLOOKUP($B5,test!$A$3:$G$32,6,FALSE) &gt;= (test!$B$33)/1440),1,0)</f>
        <v>0</v>
      </c>
      <c r="F5" s="3">
        <f>IF(AND(VLOOKUP(F$1,test!$A$3:$F$32,5,FALSE) - VLOOKUP($B5,test!$A$3:$G$32,6,FALSE) &gt;= (test!$B$33)/1440),1,0)</f>
        <v>0</v>
      </c>
      <c r="G5" s="3">
        <f>IF(AND(VLOOKUP(G$1,test!$A$3:$F$32,5,FALSE) - VLOOKUP($B5,test!$A$3:$G$32,6,FALSE) &gt;= (test!$B$33)/1440),1,0)</f>
        <v>0</v>
      </c>
      <c r="H5" s="3">
        <f>IF(AND(VLOOKUP(H$1,test!$A$3:$F$32,5,FALSE) - VLOOKUP($B5,test!$A$3:$G$32,6,FALSE) &gt;= (test!$B$33)/1440),1,0)</f>
        <v>0</v>
      </c>
      <c r="I5" s="3">
        <f>IF(AND(VLOOKUP(I$1,test!$A$3:$F$32,5,FALSE) - VLOOKUP($B5,test!$A$3:$G$32,6,FALSE) &gt;= (test!$B$33)/1440),1,0)</f>
        <v>1</v>
      </c>
      <c r="J5" s="3">
        <f>IF(AND(VLOOKUP(J$1,test!$A$3:$F$32,5,FALSE) - VLOOKUP($B5,test!$A$3:$G$32,6,FALSE) &gt;= (test!$B$33)/1440),1,0)</f>
        <v>1</v>
      </c>
      <c r="K5" s="3">
        <f>IF(AND(VLOOKUP(K$1,test!$A$3:$F$32,5,FALSE) - VLOOKUP($B5,test!$A$3:$G$32,6,FALSE) &gt;= (test!$B$33)/1440),1,0)</f>
        <v>1</v>
      </c>
      <c r="L5" s="3">
        <f>IF(AND(VLOOKUP(L$1,test!$A$3:$F$32,5,FALSE) - VLOOKUP($B5,test!$A$3:$G$32,6,FALSE) &gt;= (test!$B$33)/1440),1,0)</f>
        <v>0</v>
      </c>
      <c r="M5" s="3">
        <f>IF(AND(VLOOKUP(M$1,test!$A$3:$F$32,5,FALSE) - VLOOKUP($B5,test!$A$3:$G$32,6,FALSE) &gt;= (test!$B$33)/1440),1,0)</f>
        <v>0</v>
      </c>
      <c r="N5" s="3">
        <f>IF(AND(VLOOKUP(N$1,test!$A$3:$F$32,5,FALSE) - VLOOKUP($B5,test!$A$3:$G$32,6,FALSE) &gt;= (test!$B$33)/1440),1,0)</f>
        <v>0</v>
      </c>
      <c r="O5" s="3">
        <f>IF(AND(VLOOKUP(O$1,test!$A$3:$F$32,5,FALSE) - VLOOKUP($B5,test!$A$3:$G$32,6,FALSE) &gt;= (test!$B$33)/1440),1,0)</f>
        <v>1</v>
      </c>
      <c r="P5" s="3">
        <f>IF(AND(VLOOKUP(P$1,test!$A$3:$F$32,5,FALSE) - VLOOKUP($B5,test!$A$3:$G$32,6,FALSE) &gt;= (test!$B$33)/1440),1,0)</f>
        <v>1</v>
      </c>
      <c r="Q5" s="3">
        <f>IF(AND(VLOOKUP(Q$1,test!$A$3:$F$32,5,FALSE) - VLOOKUP($B5,test!$A$3:$G$32,6,FALSE) &gt;= (test!$B$33)/1440),1,0)</f>
        <v>0</v>
      </c>
      <c r="R5" s="3">
        <f>IF(AND(VLOOKUP(R$1,test!$A$3:$F$32,5,FALSE) - VLOOKUP($B5,test!$A$3:$G$32,6,FALSE) &gt;= (test!$B$33)/1440),1,0)</f>
        <v>0</v>
      </c>
      <c r="S5" s="3">
        <f>IF(AND(VLOOKUP(S$1,test!$A$3:$F$32,5,FALSE) - VLOOKUP($B5,test!$A$3:$G$32,6,FALSE) &gt;= (test!$B$33)/1440),1,0)</f>
        <v>0</v>
      </c>
      <c r="T5" s="3">
        <f>IF(AND(VLOOKUP(T$1,test!$A$3:$F$32,5,FALSE) - VLOOKUP($B5,test!$A$3:$G$32,6,FALSE) &gt;= (test!$B$33)/1440),1,0)</f>
        <v>0</v>
      </c>
      <c r="U5" s="3">
        <f>IF(AND(VLOOKUP(U$1,test!$A$3:$F$32,5,FALSE) - VLOOKUP($B5,test!$A$3:$G$32,6,FALSE) &gt;= (test!$B$33)/1440),1,0)</f>
        <v>0</v>
      </c>
      <c r="V5" s="3">
        <f>IF(AND(VLOOKUP(V$1,test!$A$3:$F$32,5,FALSE) - VLOOKUP($B5,test!$A$3:$G$32,6,FALSE) &gt;= (test!$B$33)/1440),1,0)</f>
        <v>0</v>
      </c>
      <c r="W5" s="3">
        <f>IF(AND(VLOOKUP(W$1,test!$A$3:$F$32,5,FALSE) - VLOOKUP($B5,test!$A$3:$G$32,6,FALSE) &gt;= (test!$B$33)/1440),1,0)</f>
        <v>0</v>
      </c>
      <c r="X5" s="3">
        <f>IF(AND(VLOOKUP(X$1,test!$A$3:$F$32,5,FALSE) - VLOOKUP($B5,test!$A$3:$G$32,6,FALSE) &gt;= (test!$B$33)/1440),1,0)</f>
        <v>1</v>
      </c>
      <c r="Y5" s="3">
        <f>IF(AND(VLOOKUP(Y$1,test!$A$3:$F$32,5,FALSE) - VLOOKUP($B5,test!$A$3:$G$32,6,FALSE) &gt;= (test!$B$33)/1440),1,0)</f>
        <v>1</v>
      </c>
      <c r="Z5" s="3">
        <f>IF(AND(VLOOKUP(Z$1,test!$A$3:$F$32,5,FALSE) - VLOOKUP($B5,test!$A$3:$G$32,6,FALSE) &gt;= (test!$B$33)/1440),1,0)</f>
        <v>0</v>
      </c>
      <c r="AA5" s="3">
        <f>IF(AND(VLOOKUP(AA$1,test!$A$3:$F$32,5,FALSE) - VLOOKUP($B5,test!$A$3:$G$32,6,FALSE) &gt;= (test!$B$33)/1440),1,0)</f>
        <v>0</v>
      </c>
      <c r="AB5" s="3">
        <f>IF(AND(VLOOKUP(AB$1,test!$A$3:$F$32,5,FALSE) - VLOOKUP($B5,test!$A$3:$G$32,6,FALSE) &gt;= (test!$B$33)/1440),1,0)</f>
        <v>0</v>
      </c>
      <c r="AC5" s="3">
        <f>IF(AND(VLOOKUP(AC$1,test!$A$3:$F$32,5,FALSE) - VLOOKUP($B5,test!$A$3:$G$32,6,FALSE) &gt;= (test!$B$33)/1440),1,0)</f>
        <v>0</v>
      </c>
      <c r="AD5" s="3">
        <f>IF(AND(VLOOKUP(AD$1,test!$A$3:$F$32,5,FALSE) - VLOOKUP($B5,test!$A$3:$G$32,6,FALSE) &gt;= (test!$B$33)/1440),1,0)</f>
        <v>1</v>
      </c>
      <c r="AE5" s="3">
        <f>IF(AND(VLOOKUP(AE$1,test!$A$3:$F$32,5,FALSE) - VLOOKUP($B5,test!$A$3:$G$32,6,FALSE) &gt;= (test!$B$33)/1440),1,0)</f>
        <v>0</v>
      </c>
      <c r="AF5" s="3">
        <f>IF(AND(VLOOKUP(AF$1,test!$A$3:$F$32,5,FALSE) - VLOOKUP($B5,test!$A$3:$G$32,6,FALSE) &gt;= (test!$B$33)/1440),1,0)</f>
        <v>0</v>
      </c>
      <c r="AG5" s="3">
        <f>IF(AND(VLOOKUP(AG$1,test!$A$3:$F$32,5,FALSE) - VLOOKUP($B5,test!$A$3:$G$32,6,FALSE) &gt;= (test!$B$33)/1440),1,0)</f>
        <v>0</v>
      </c>
    </row>
    <row r="6" spans="1:34" x14ac:dyDescent="0.25">
      <c r="A6" t="s">
        <v>49</v>
      </c>
      <c r="B6" t="s">
        <v>11</v>
      </c>
      <c r="C6">
        <v>0</v>
      </c>
      <c r="D6" s="3">
        <f>IF(AND(VLOOKUP(D$1,test!$A$3:$F$32,5,FALSE) - VLOOKUP($B6,test!$A$3:$G$32,6,FALSE) &gt;= (test!$B$33)/1440),1,0)</f>
        <v>0</v>
      </c>
      <c r="E6" s="3">
        <f>IF(AND(VLOOKUP(E$1,test!$A$3:$F$32,5,FALSE) - VLOOKUP($B6,test!$A$3:$G$32,6,FALSE) &gt;= (test!$B$33)/1440),1,0)</f>
        <v>0</v>
      </c>
      <c r="F6" s="3">
        <f>IF(AND(VLOOKUP(F$1,test!$A$3:$F$32,5,FALSE) - VLOOKUP($B6,test!$A$3:$G$32,6,FALSE) &gt;= (test!$B$33)/1440),1,0)</f>
        <v>0</v>
      </c>
      <c r="G6" s="3">
        <f>IF(AND(VLOOKUP(G$1,test!$A$3:$F$32,5,FALSE) - VLOOKUP($B6,test!$A$3:$G$32,6,FALSE) &gt;= (test!$B$33)/1440),1,0)</f>
        <v>0</v>
      </c>
      <c r="H6" s="3">
        <f>IF(AND(VLOOKUP(H$1,test!$A$3:$F$32,5,FALSE) - VLOOKUP($B6,test!$A$3:$G$32,6,FALSE) &gt;= (test!$B$33)/1440),1,0)</f>
        <v>0</v>
      </c>
      <c r="I6" s="3">
        <f>IF(AND(VLOOKUP(I$1,test!$A$3:$F$32,5,FALSE) - VLOOKUP($B6,test!$A$3:$G$32,6,FALSE) &gt;= (test!$B$33)/1440),1,0)</f>
        <v>0</v>
      </c>
      <c r="J6" s="3">
        <f>IF(AND(VLOOKUP(J$1,test!$A$3:$F$32,5,FALSE) - VLOOKUP($B6,test!$A$3:$G$32,6,FALSE) &gt;= (test!$B$33)/1440),1,0)</f>
        <v>0</v>
      </c>
      <c r="K6" s="3">
        <f>IF(AND(VLOOKUP(K$1,test!$A$3:$F$32,5,FALSE) - VLOOKUP($B6,test!$A$3:$G$32,6,FALSE) &gt;= (test!$B$33)/1440),1,0)</f>
        <v>1</v>
      </c>
      <c r="L6" s="3">
        <f>IF(AND(VLOOKUP(L$1,test!$A$3:$F$32,5,FALSE) - VLOOKUP($B6,test!$A$3:$G$32,6,FALSE) &gt;= (test!$B$33)/1440),1,0)</f>
        <v>0</v>
      </c>
      <c r="M6" s="3">
        <f>IF(AND(VLOOKUP(M$1,test!$A$3:$F$32,5,FALSE) - VLOOKUP($B6,test!$A$3:$G$32,6,FALSE) &gt;= (test!$B$33)/1440),1,0)</f>
        <v>0</v>
      </c>
      <c r="N6" s="3">
        <f>IF(AND(VLOOKUP(N$1,test!$A$3:$F$32,5,FALSE) - VLOOKUP($B6,test!$A$3:$G$32,6,FALSE) &gt;= (test!$B$33)/1440),1,0)</f>
        <v>0</v>
      </c>
      <c r="O6" s="3">
        <f>IF(AND(VLOOKUP(O$1,test!$A$3:$F$32,5,FALSE) - VLOOKUP($B6,test!$A$3:$G$32,6,FALSE) &gt;= (test!$B$33)/1440),1,0)</f>
        <v>1</v>
      </c>
      <c r="P6" s="3">
        <f>IF(AND(VLOOKUP(P$1,test!$A$3:$F$32,5,FALSE) - VLOOKUP($B6,test!$A$3:$G$32,6,FALSE) &gt;= (test!$B$33)/1440),1,0)</f>
        <v>1</v>
      </c>
      <c r="Q6" s="3">
        <f>IF(AND(VLOOKUP(Q$1,test!$A$3:$F$32,5,FALSE) - VLOOKUP($B6,test!$A$3:$G$32,6,FALSE) &gt;= (test!$B$33)/1440),1,0)</f>
        <v>0</v>
      </c>
      <c r="R6" s="3">
        <f>IF(AND(VLOOKUP(R$1,test!$A$3:$F$32,5,FALSE) - VLOOKUP($B6,test!$A$3:$G$32,6,FALSE) &gt;= (test!$B$33)/1440),1,0)</f>
        <v>0</v>
      </c>
      <c r="S6" s="3">
        <f>IF(AND(VLOOKUP(S$1,test!$A$3:$F$32,5,FALSE) - VLOOKUP($B6,test!$A$3:$G$32,6,FALSE) &gt;= (test!$B$33)/1440),1,0)</f>
        <v>0</v>
      </c>
      <c r="T6" s="3">
        <f>IF(AND(VLOOKUP(T$1,test!$A$3:$F$32,5,FALSE) - VLOOKUP($B6,test!$A$3:$G$32,6,FALSE) &gt;= (test!$B$33)/1440),1,0)</f>
        <v>0</v>
      </c>
      <c r="U6" s="3">
        <f>IF(AND(VLOOKUP(U$1,test!$A$3:$F$32,5,FALSE) - VLOOKUP($B6,test!$A$3:$G$32,6,FALSE) &gt;= (test!$B$33)/1440),1,0)</f>
        <v>0</v>
      </c>
      <c r="V6" s="3">
        <f>IF(AND(VLOOKUP(V$1,test!$A$3:$F$32,5,FALSE) - VLOOKUP($B6,test!$A$3:$G$32,6,FALSE) &gt;= (test!$B$33)/1440),1,0)</f>
        <v>0</v>
      </c>
      <c r="W6" s="3">
        <f>IF(AND(VLOOKUP(W$1,test!$A$3:$F$32,5,FALSE) - VLOOKUP($B6,test!$A$3:$G$32,6,FALSE) &gt;= (test!$B$33)/1440),1,0)</f>
        <v>0</v>
      </c>
      <c r="X6" s="3">
        <f>IF(AND(VLOOKUP(X$1,test!$A$3:$F$32,5,FALSE) - VLOOKUP($B6,test!$A$3:$G$32,6,FALSE) &gt;= (test!$B$33)/1440),1,0)</f>
        <v>0</v>
      </c>
      <c r="Y6" s="3">
        <f>IF(AND(VLOOKUP(Y$1,test!$A$3:$F$32,5,FALSE) - VLOOKUP($B6,test!$A$3:$G$32,6,FALSE) &gt;= (test!$B$33)/1440),1,0)</f>
        <v>1</v>
      </c>
      <c r="Z6" s="3">
        <f>IF(AND(VLOOKUP(Z$1,test!$A$3:$F$32,5,FALSE) - VLOOKUP($B6,test!$A$3:$G$32,6,FALSE) &gt;= (test!$B$33)/1440),1,0)</f>
        <v>0</v>
      </c>
      <c r="AA6" s="3">
        <f>IF(AND(VLOOKUP(AA$1,test!$A$3:$F$32,5,FALSE) - VLOOKUP($B6,test!$A$3:$G$32,6,FALSE) &gt;= (test!$B$33)/1440),1,0)</f>
        <v>0</v>
      </c>
      <c r="AB6" s="3">
        <f>IF(AND(VLOOKUP(AB$1,test!$A$3:$F$32,5,FALSE) - VLOOKUP($B6,test!$A$3:$G$32,6,FALSE) &gt;= (test!$B$33)/1440),1,0)</f>
        <v>0</v>
      </c>
      <c r="AC6" s="3">
        <f>IF(AND(VLOOKUP(AC$1,test!$A$3:$F$32,5,FALSE) - VLOOKUP($B6,test!$A$3:$G$32,6,FALSE) &gt;= (test!$B$33)/1440),1,0)</f>
        <v>0</v>
      </c>
      <c r="AD6" s="3">
        <f>IF(AND(VLOOKUP(AD$1,test!$A$3:$F$32,5,FALSE) - VLOOKUP($B6,test!$A$3:$G$32,6,FALSE) &gt;= (test!$B$33)/1440),1,0)</f>
        <v>0</v>
      </c>
      <c r="AE6" s="3">
        <f>IF(AND(VLOOKUP(AE$1,test!$A$3:$F$32,5,FALSE) - VLOOKUP($B6,test!$A$3:$G$32,6,FALSE) &gt;= (test!$B$33)/1440),1,0)</f>
        <v>0</v>
      </c>
      <c r="AF6" s="3">
        <f>IF(AND(VLOOKUP(AF$1,test!$A$3:$F$32,5,FALSE) - VLOOKUP($B6,test!$A$3:$G$32,6,FALSE) &gt;= (test!$B$33)/1440),1,0)</f>
        <v>0</v>
      </c>
      <c r="AG6" s="3">
        <f>IF(AND(VLOOKUP(AG$1,test!$A$3:$F$32,5,FALSE) - VLOOKUP($B6,test!$A$3:$G$32,6,FALSE) &gt;= (test!$B$33)/1440),1,0)</f>
        <v>0</v>
      </c>
    </row>
    <row r="7" spans="1:34" x14ac:dyDescent="0.25">
      <c r="A7" t="s">
        <v>49</v>
      </c>
      <c r="B7" t="s">
        <v>12</v>
      </c>
      <c r="C7">
        <v>0</v>
      </c>
      <c r="D7" s="3">
        <f>IF(AND(VLOOKUP(D$1,test!$A$3:$F$32,5,FALSE) - VLOOKUP($B7,test!$A$3:$G$32,6,FALSE) &gt;= (test!$B$33)/1440),1,0)</f>
        <v>0</v>
      </c>
      <c r="E7" s="3">
        <f>IF(AND(VLOOKUP(E$1,test!$A$3:$F$32,5,FALSE) - VLOOKUP($B7,test!$A$3:$G$32,6,FALSE) &gt;= (test!$B$33)/1440),1,0)</f>
        <v>0</v>
      </c>
      <c r="F7" s="3">
        <f>IF(AND(VLOOKUP(F$1,test!$A$3:$F$32,5,FALSE) - VLOOKUP($B7,test!$A$3:$G$32,6,FALSE) &gt;= (test!$B$33)/1440),1,0)</f>
        <v>0</v>
      </c>
      <c r="G7" s="3">
        <f>IF(AND(VLOOKUP(G$1,test!$A$3:$F$32,5,FALSE) - VLOOKUP($B7,test!$A$3:$G$32,6,FALSE) &gt;= (test!$B$33)/1440),1,0)</f>
        <v>0</v>
      </c>
      <c r="H7" s="3">
        <f>IF(AND(VLOOKUP(H$1,test!$A$3:$F$32,5,FALSE) - VLOOKUP($B7,test!$A$3:$G$32,6,FALSE) &gt;= (test!$B$33)/1440),1,0)</f>
        <v>0</v>
      </c>
      <c r="I7" s="3">
        <f>IF(AND(VLOOKUP(I$1,test!$A$3:$F$32,5,FALSE) - VLOOKUP($B7,test!$A$3:$G$32,6,FALSE) &gt;= (test!$B$33)/1440),1,0)</f>
        <v>0</v>
      </c>
      <c r="J7" s="3">
        <f>IF(AND(VLOOKUP(J$1,test!$A$3:$F$32,5,FALSE) - VLOOKUP($B7,test!$A$3:$G$32,6,FALSE) &gt;= (test!$B$33)/1440),1,0)</f>
        <v>0</v>
      </c>
      <c r="K7" s="3">
        <f>IF(AND(VLOOKUP(K$1,test!$A$3:$F$32,5,FALSE) - VLOOKUP($B7,test!$A$3:$G$32,6,FALSE) &gt;= (test!$B$33)/1440),1,0)</f>
        <v>1</v>
      </c>
      <c r="L7" s="3">
        <f>IF(AND(VLOOKUP(L$1,test!$A$3:$F$32,5,FALSE) - VLOOKUP($B7,test!$A$3:$G$32,6,FALSE) &gt;= (test!$B$33)/1440),1,0)</f>
        <v>0</v>
      </c>
      <c r="M7" s="3">
        <f>IF(AND(VLOOKUP(M$1,test!$A$3:$F$32,5,FALSE) - VLOOKUP($B7,test!$A$3:$G$32,6,FALSE) &gt;= (test!$B$33)/1440),1,0)</f>
        <v>0</v>
      </c>
      <c r="N7" s="3">
        <f>IF(AND(VLOOKUP(N$1,test!$A$3:$F$32,5,FALSE) - VLOOKUP($B7,test!$A$3:$G$32,6,FALSE) &gt;= (test!$B$33)/1440),1,0)</f>
        <v>0</v>
      </c>
      <c r="O7" s="3">
        <f>IF(AND(VLOOKUP(O$1,test!$A$3:$F$32,5,FALSE) - VLOOKUP($B7,test!$A$3:$G$32,6,FALSE) &gt;= (test!$B$33)/1440),1,0)</f>
        <v>0</v>
      </c>
      <c r="P7" s="3">
        <f>IF(AND(VLOOKUP(P$1,test!$A$3:$F$32,5,FALSE) - VLOOKUP($B7,test!$A$3:$G$32,6,FALSE) &gt;= (test!$B$33)/1440),1,0)</f>
        <v>1</v>
      </c>
      <c r="Q7" s="3">
        <f>IF(AND(VLOOKUP(Q$1,test!$A$3:$F$32,5,FALSE) - VLOOKUP($B7,test!$A$3:$G$32,6,FALSE) &gt;= (test!$B$33)/1440),1,0)</f>
        <v>0</v>
      </c>
      <c r="R7" s="3">
        <f>IF(AND(VLOOKUP(R$1,test!$A$3:$F$32,5,FALSE) - VLOOKUP($B7,test!$A$3:$G$32,6,FALSE) &gt;= (test!$B$33)/1440),1,0)</f>
        <v>0</v>
      </c>
      <c r="S7" s="3">
        <f>IF(AND(VLOOKUP(S$1,test!$A$3:$F$32,5,FALSE) - VLOOKUP($B7,test!$A$3:$G$32,6,FALSE) &gt;= (test!$B$33)/1440),1,0)</f>
        <v>0</v>
      </c>
      <c r="T7" s="3">
        <f>IF(AND(VLOOKUP(T$1,test!$A$3:$F$32,5,FALSE) - VLOOKUP($B7,test!$A$3:$G$32,6,FALSE) &gt;= (test!$B$33)/1440),1,0)</f>
        <v>0</v>
      </c>
      <c r="U7" s="3">
        <f>IF(AND(VLOOKUP(U$1,test!$A$3:$F$32,5,FALSE) - VLOOKUP($B7,test!$A$3:$G$32,6,FALSE) &gt;= (test!$B$33)/1440),1,0)</f>
        <v>0</v>
      </c>
      <c r="V7" s="3">
        <f>IF(AND(VLOOKUP(V$1,test!$A$3:$F$32,5,FALSE) - VLOOKUP($B7,test!$A$3:$G$32,6,FALSE) &gt;= (test!$B$33)/1440),1,0)</f>
        <v>0</v>
      </c>
      <c r="W7" s="3">
        <f>IF(AND(VLOOKUP(W$1,test!$A$3:$F$32,5,FALSE) - VLOOKUP($B7,test!$A$3:$G$32,6,FALSE) &gt;= (test!$B$33)/1440),1,0)</f>
        <v>0</v>
      </c>
      <c r="X7" s="3">
        <f>IF(AND(VLOOKUP(X$1,test!$A$3:$F$32,5,FALSE) - VLOOKUP($B7,test!$A$3:$G$32,6,FALSE) &gt;= (test!$B$33)/1440),1,0)</f>
        <v>0</v>
      </c>
      <c r="Y7" s="3">
        <f>IF(AND(VLOOKUP(Y$1,test!$A$3:$F$32,5,FALSE) - VLOOKUP($B7,test!$A$3:$G$32,6,FALSE) &gt;= (test!$B$33)/1440),1,0)</f>
        <v>0</v>
      </c>
      <c r="Z7" s="3">
        <f>IF(AND(VLOOKUP(Z$1,test!$A$3:$F$32,5,FALSE) - VLOOKUP($B7,test!$A$3:$G$32,6,FALSE) &gt;= (test!$B$33)/1440),1,0)</f>
        <v>0</v>
      </c>
      <c r="AA7" s="3">
        <f>IF(AND(VLOOKUP(AA$1,test!$A$3:$F$32,5,FALSE) - VLOOKUP($B7,test!$A$3:$G$32,6,FALSE) &gt;= (test!$B$33)/1440),1,0)</f>
        <v>0</v>
      </c>
      <c r="AB7" s="3">
        <f>IF(AND(VLOOKUP(AB$1,test!$A$3:$F$32,5,FALSE) - VLOOKUP($B7,test!$A$3:$G$32,6,FALSE) &gt;= (test!$B$33)/1440),1,0)</f>
        <v>0</v>
      </c>
      <c r="AC7" s="3">
        <f>IF(AND(VLOOKUP(AC$1,test!$A$3:$F$32,5,FALSE) - VLOOKUP($B7,test!$A$3:$G$32,6,FALSE) &gt;= (test!$B$33)/1440),1,0)</f>
        <v>0</v>
      </c>
      <c r="AD7" s="3">
        <f>IF(AND(VLOOKUP(AD$1,test!$A$3:$F$32,5,FALSE) - VLOOKUP($B7,test!$A$3:$G$32,6,FALSE) &gt;= (test!$B$33)/1440),1,0)</f>
        <v>0</v>
      </c>
      <c r="AE7" s="3">
        <f>IF(AND(VLOOKUP(AE$1,test!$A$3:$F$32,5,FALSE) - VLOOKUP($B7,test!$A$3:$G$32,6,FALSE) &gt;= (test!$B$33)/1440),1,0)</f>
        <v>0</v>
      </c>
      <c r="AF7" s="3">
        <f>IF(AND(VLOOKUP(AF$1,test!$A$3:$F$32,5,FALSE) - VLOOKUP($B7,test!$A$3:$G$32,6,FALSE) &gt;= (test!$B$33)/1440),1,0)</f>
        <v>0</v>
      </c>
      <c r="AG7" s="3">
        <f>IF(AND(VLOOKUP(AG$1,test!$A$3:$F$32,5,FALSE) - VLOOKUP($B7,test!$A$3:$G$32,6,FALSE) &gt;= (test!$B$33)/1440),1,0)</f>
        <v>0</v>
      </c>
    </row>
    <row r="8" spans="1:34" x14ac:dyDescent="0.25">
      <c r="A8" t="s">
        <v>49</v>
      </c>
      <c r="B8" t="s">
        <v>13</v>
      </c>
      <c r="C8">
        <v>0</v>
      </c>
      <c r="D8" s="3">
        <f>IF(AND(VLOOKUP(D$1,test!$A$3:$F$32,5,FALSE) - VLOOKUP($B8,test!$A$3:$G$32,6,FALSE) &gt;= (test!$B$33)/1440),1,0)</f>
        <v>0</v>
      </c>
      <c r="E8" s="3">
        <f>IF(AND(VLOOKUP(E$1,test!$A$3:$F$32,5,FALSE) - VLOOKUP($B8,test!$A$3:$G$32,6,FALSE) &gt;= (test!$B$33)/1440),1,0)</f>
        <v>0</v>
      </c>
      <c r="F8" s="3">
        <f>IF(AND(VLOOKUP(F$1,test!$A$3:$F$32,5,FALSE) - VLOOKUP($B8,test!$A$3:$G$32,6,FALSE) &gt;= (test!$B$33)/1440),1,0)</f>
        <v>0</v>
      </c>
      <c r="G8" s="3">
        <f>IF(AND(VLOOKUP(G$1,test!$A$3:$F$32,5,FALSE) - VLOOKUP($B8,test!$A$3:$G$32,6,FALSE) &gt;= (test!$B$33)/1440),1,0)</f>
        <v>0</v>
      </c>
      <c r="H8" s="3">
        <f>IF(AND(VLOOKUP(H$1,test!$A$3:$F$32,5,FALSE) - VLOOKUP($B8,test!$A$3:$G$32,6,FALSE) &gt;= (test!$B$33)/1440),1,0)</f>
        <v>0</v>
      </c>
      <c r="I8" s="3">
        <f>IF(AND(VLOOKUP(I$1,test!$A$3:$F$32,5,FALSE) - VLOOKUP($B8,test!$A$3:$G$32,6,FALSE) &gt;= (test!$B$33)/1440),1,0)</f>
        <v>0</v>
      </c>
      <c r="J8" s="3">
        <f>IF(AND(VLOOKUP(J$1,test!$A$3:$F$32,5,FALSE) - VLOOKUP($B8,test!$A$3:$G$32,6,FALSE) &gt;= (test!$B$33)/1440),1,0)</f>
        <v>0</v>
      </c>
      <c r="K8" s="3">
        <f>IF(AND(VLOOKUP(K$1,test!$A$3:$F$32,5,FALSE) - VLOOKUP($B8,test!$A$3:$G$32,6,FALSE) &gt;= (test!$B$33)/1440),1,0)</f>
        <v>0</v>
      </c>
      <c r="L8" s="3">
        <f>IF(AND(VLOOKUP(L$1,test!$A$3:$F$32,5,FALSE) - VLOOKUP($B8,test!$A$3:$G$32,6,FALSE) &gt;= (test!$B$33)/1440),1,0)</f>
        <v>0</v>
      </c>
      <c r="M8" s="3">
        <f>IF(AND(VLOOKUP(M$1,test!$A$3:$F$32,5,FALSE) - VLOOKUP($B8,test!$A$3:$G$32,6,FALSE) &gt;= (test!$B$33)/1440),1,0)</f>
        <v>0</v>
      </c>
      <c r="N8" s="3">
        <f>IF(AND(VLOOKUP(N$1,test!$A$3:$F$32,5,FALSE) - VLOOKUP($B8,test!$A$3:$G$32,6,FALSE) &gt;= (test!$B$33)/1440),1,0)</f>
        <v>0</v>
      </c>
      <c r="O8" s="3">
        <f>IF(AND(VLOOKUP(O$1,test!$A$3:$F$32,5,FALSE) - VLOOKUP($B8,test!$A$3:$G$32,6,FALSE) &gt;= (test!$B$33)/1440),1,0)</f>
        <v>0</v>
      </c>
      <c r="P8" s="3">
        <f>IF(AND(VLOOKUP(P$1,test!$A$3:$F$32,5,FALSE) - VLOOKUP($B8,test!$A$3:$G$32,6,FALSE) &gt;= (test!$B$33)/1440),1,0)</f>
        <v>0</v>
      </c>
      <c r="Q8" s="3">
        <f>IF(AND(VLOOKUP(Q$1,test!$A$3:$F$32,5,FALSE) - VLOOKUP($B8,test!$A$3:$G$32,6,FALSE) &gt;= (test!$B$33)/1440),1,0)</f>
        <v>0</v>
      </c>
      <c r="R8" s="3">
        <f>IF(AND(VLOOKUP(R$1,test!$A$3:$F$32,5,FALSE) - VLOOKUP($B8,test!$A$3:$G$32,6,FALSE) &gt;= (test!$B$33)/1440),1,0)</f>
        <v>0</v>
      </c>
      <c r="S8" s="3">
        <f>IF(AND(VLOOKUP(S$1,test!$A$3:$F$32,5,FALSE) - VLOOKUP($B8,test!$A$3:$G$32,6,FALSE) &gt;= (test!$B$33)/1440),1,0)</f>
        <v>0</v>
      </c>
      <c r="T8" s="3">
        <f>IF(AND(VLOOKUP(T$1,test!$A$3:$F$32,5,FALSE) - VLOOKUP($B8,test!$A$3:$G$32,6,FALSE) &gt;= (test!$B$33)/1440),1,0)</f>
        <v>0</v>
      </c>
      <c r="U8" s="3">
        <f>IF(AND(VLOOKUP(U$1,test!$A$3:$F$32,5,FALSE) - VLOOKUP($B8,test!$A$3:$G$32,6,FALSE) &gt;= (test!$B$33)/1440),1,0)</f>
        <v>0</v>
      </c>
      <c r="V8" s="3">
        <f>IF(AND(VLOOKUP(V$1,test!$A$3:$F$32,5,FALSE) - VLOOKUP($B8,test!$A$3:$G$32,6,FALSE) &gt;= (test!$B$33)/1440),1,0)</f>
        <v>0</v>
      </c>
      <c r="W8" s="3">
        <f>IF(AND(VLOOKUP(W$1,test!$A$3:$F$32,5,FALSE) - VLOOKUP($B8,test!$A$3:$G$32,6,FALSE) &gt;= (test!$B$33)/1440),1,0)</f>
        <v>0</v>
      </c>
      <c r="X8" s="3">
        <f>IF(AND(VLOOKUP(X$1,test!$A$3:$F$32,5,FALSE) - VLOOKUP($B8,test!$A$3:$G$32,6,FALSE) &gt;= (test!$B$33)/1440),1,0)</f>
        <v>0</v>
      </c>
      <c r="Y8" s="3">
        <f>IF(AND(VLOOKUP(Y$1,test!$A$3:$F$32,5,FALSE) - VLOOKUP($B8,test!$A$3:$G$32,6,FALSE) &gt;= (test!$B$33)/1440),1,0)</f>
        <v>0</v>
      </c>
      <c r="Z8" s="3">
        <f>IF(AND(VLOOKUP(Z$1,test!$A$3:$F$32,5,FALSE) - VLOOKUP($B8,test!$A$3:$G$32,6,FALSE) &gt;= (test!$B$33)/1440),1,0)</f>
        <v>0</v>
      </c>
      <c r="AA8" s="3">
        <f>IF(AND(VLOOKUP(AA$1,test!$A$3:$F$32,5,FALSE) - VLOOKUP($B8,test!$A$3:$G$32,6,FALSE) &gt;= (test!$B$33)/1440),1,0)</f>
        <v>0</v>
      </c>
      <c r="AB8" s="3">
        <f>IF(AND(VLOOKUP(AB$1,test!$A$3:$F$32,5,FALSE) - VLOOKUP($B8,test!$A$3:$G$32,6,FALSE) &gt;= (test!$B$33)/1440),1,0)</f>
        <v>0</v>
      </c>
      <c r="AC8" s="3">
        <f>IF(AND(VLOOKUP(AC$1,test!$A$3:$F$32,5,FALSE) - VLOOKUP($B8,test!$A$3:$G$32,6,FALSE) &gt;= (test!$B$33)/1440),1,0)</f>
        <v>0</v>
      </c>
      <c r="AD8" s="3">
        <f>IF(AND(VLOOKUP(AD$1,test!$A$3:$F$32,5,FALSE) - VLOOKUP($B8,test!$A$3:$G$32,6,FALSE) &gt;= (test!$B$33)/1440),1,0)</f>
        <v>0</v>
      </c>
      <c r="AE8" s="3">
        <f>IF(AND(VLOOKUP(AE$1,test!$A$3:$F$32,5,FALSE) - VLOOKUP($B8,test!$A$3:$G$32,6,FALSE) &gt;= (test!$B$33)/1440),1,0)</f>
        <v>0</v>
      </c>
      <c r="AF8" s="3">
        <f>IF(AND(VLOOKUP(AF$1,test!$A$3:$F$32,5,FALSE) - VLOOKUP($B8,test!$A$3:$G$32,6,FALSE) &gt;= (test!$B$33)/1440),1,0)</f>
        <v>0</v>
      </c>
      <c r="AG8" s="3">
        <f>IF(AND(VLOOKUP(AG$1,test!$A$3:$F$32,5,FALSE) - VLOOKUP($B8,test!$A$3:$G$32,6,FALSE) &gt;= (test!$B$33)/1440),1,0)</f>
        <v>0</v>
      </c>
    </row>
    <row r="9" spans="1:34" x14ac:dyDescent="0.25">
      <c r="A9" t="s">
        <v>49</v>
      </c>
      <c r="B9" t="s">
        <v>14</v>
      </c>
      <c r="C9">
        <v>0</v>
      </c>
      <c r="D9" s="3">
        <f>IF(AND(VLOOKUP(D$1,test!$A$3:$F$32,5,FALSE) - VLOOKUP($B9,test!$A$3:$G$32,6,FALSE) &gt;= (test!$B$33)/1440),1,0)</f>
        <v>0</v>
      </c>
      <c r="E9" s="3">
        <f>IF(AND(VLOOKUP(E$1,test!$A$3:$F$32,5,FALSE) - VLOOKUP($B9,test!$A$3:$G$32,6,FALSE) &gt;= (test!$B$33)/1440),1,0)</f>
        <v>0</v>
      </c>
      <c r="F9" s="3">
        <f>IF(AND(VLOOKUP(F$1,test!$A$3:$F$32,5,FALSE) - VLOOKUP($B9,test!$A$3:$G$32,6,FALSE) &gt;= (test!$B$33)/1440),1,0)</f>
        <v>0</v>
      </c>
      <c r="G9" s="3">
        <f>IF(AND(VLOOKUP(G$1,test!$A$3:$F$32,5,FALSE) - VLOOKUP($B9,test!$A$3:$G$32,6,FALSE) &gt;= (test!$B$33)/1440),1,0)</f>
        <v>0</v>
      </c>
      <c r="H9" s="3">
        <f>IF(AND(VLOOKUP(H$1,test!$A$3:$F$32,5,FALSE) - VLOOKUP($B9,test!$A$3:$G$32,6,FALSE) &gt;= (test!$B$33)/1440),1,0)</f>
        <v>0</v>
      </c>
      <c r="I9" s="3">
        <f>IF(AND(VLOOKUP(I$1,test!$A$3:$F$32,5,FALSE) - VLOOKUP($B9,test!$A$3:$G$32,6,FALSE) &gt;= (test!$B$33)/1440),1,0)</f>
        <v>0</v>
      </c>
      <c r="J9" s="3">
        <f>IF(AND(VLOOKUP(J$1,test!$A$3:$F$32,5,FALSE) - VLOOKUP($B9,test!$A$3:$G$32,6,FALSE) &gt;= (test!$B$33)/1440),1,0)</f>
        <v>0</v>
      </c>
      <c r="K9" s="3">
        <f>IF(AND(VLOOKUP(K$1,test!$A$3:$F$32,5,FALSE) - VLOOKUP($B9,test!$A$3:$G$32,6,FALSE) &gt;= (test!$B$33)/1440),1,0)</f>
        <v>0</v>
      </c>
      <c r="L9" s="3">
        <f>IF(AND(VLOOKUP(L$1,test!$A$3:$F$32,5,FALSE) - VLOOKUP($B9,test!$A$3:$G$32,6,FALSE) &gt;= (test!$B$33)/1440),1,0)</f>
        <v>0</v>
      </c>
      <c r="M9" s="3">
        <f>IF(AND(VLOOKUP(M$1,test!$A$3:$F$32,5,FALSE) - VLOOKUP($B9,test!$A$3:$G$32,6,FALSE) &gt;= (test!$B$33)/1440),1,0)</f>
        <v>0</v>
      </c>
      <c r="N9" s="3">
        <f>IF(AND(VLOOKUP(N$1,test!$A$3:$F$32,5,FALSE) - VLOOKUP($B9,test!$A$3:$G$32,6,FALSE) &gt;= (test!$B$33)/1440),1,0)</f>
        <v>0</v>
      </c>
      <c r="O9" s="3">
        <f>IF(AND(VLOOKUP(O$1,test!$A$3:$F$32,5,FALSE) - VLOOKUP($B9,test!$A$3:$G$32,6,FALSE) &gt;= (test!$B$33)/1440),1,0)</f>
        <v>0</v>
      </c>
      <c r="P9" s="3">
        <f>IF(AND(VLOOKUP(P$1,test!$A$3:$F$32,5,FALSE) - VLOOKUP($B9,test!$A$3:$G$32,6,FALSE) &gt;= (test!$B$33)/1440),1,0)</f>
        <v>0</v>
      </c>
      <c r="Q9" s="3">
        <f>IF(AND(VLOOKUP(Q$1,test!$A$3:$F$32,5,FALSE) - VLOOKUP($B9,test!$A$3:$G$32,6,FALSE) &gt;= (test!$B$33)/1440),1,0)</f>
        <v>0</v>
      </c>
      <c r="R9" s="3">
        <f>IF(AND(VLOOKUP(R$1,test!$A$3:$F$32,5,FALSE) - VLOOKUP($B9,test!$A$3:$G$32,6,FALSE) &gt;= (test!$B$33)/1440),1,0)</f>
        <v>0</v>
      </c>
      <c r="S9" s="3">
        <f>IF(AND(VLOOKUP(S$1,test!$A$3:$F$32,5,FALSE) - VLOOKUP($B9,test!$A$3:$G$32,6,FALSE) &gt;= (test!$B$33)/1440),1,0)</f>
        <v>0</v>
      </c>
      <c r="T9" s="3">
        <f>IF(AND(VLOOKUP(T$1,test!$A$3:$F$32,5,FALSE) - VLOOKUP($B9,test!$A$3:$G$32,6,FALSE) &gt;= (test!$B$33)/1440),1,0)</f>
        <v>0</v>
      </c>
      <c r="U9" s="3">
        <f>IF(AND(VLOOKUP(U$1,test!$A$3:$F$32,5,FALSE) - VLOOKUP($B9,test!$A$3:$G$32,6,FALSE) &gt;= (test!$B$33)/1440),1,0)</f>
        <v>0</v>
      </c>
      <c r="V9" s="3">
        <f>IF(AND(VLOOKUP(V$1,test!$A$3:$F$32,5,FALSE) - VLOOKUP($B9,test!$A$3:$G$32,6,FALSE) &gt;= (test!$B$33)/1440),1,0)</f>
        <v>0</v>
      </c>
      <c r="W9" s="3">
        <f>IF(AND(VLOOKUP(W$1,test!$A$3:$F$32,5,FALSE) - VLOOKUP($B9,test!$A$3:$G$32,6,FALSE) &gt;= (test!$B$33)/1440),1,0)</f>
        <v>0</v>
      </c>
      <c r="X9" s="3">
        <f>IF(AND(VLOOKUP(X$1,test!$A$3:$F$32,5,FALSE) - VLOOKUP($B9,test!$A$3:$G$32,6,FALSE) &gt;= (test!$B$33)/1440),1,0)</f>
        <v>0</v>
      </c>
      <c r="Y9" s="3">
        <f>IF(AND(VLOOKUP(Y$1,test!$A$3:$F$32,5,FALSE) - VLOOKUP($B9,test!$A$3:$G$32,6,FALSE) &gt;= (test!$B$33)/1440),1,0)</f>
        <v>0</v>
      </c>
      <c r="Z9" s="3">
        <f>IF(AND(VLOOKUP(Z$1,test!$A$3:$F$32,5,FALSE) - VLOOKUP($B9,test!$A$3:$G$32,6,FALSE) &gt;= (test!$B$33)/1440),1,0)</f>
        <v>0</v>
      </c>
      <c r="AA9" s="3">
        <f>IF(AND(VLOOKUP(AA$1,test!$A$3:$F$32,5,FALSE) - VLOOKUP($B9,test!$A$3:$G$32,6,FALSE) &gt;= (test!$B$33)/1440),1,0)</f>
        <v>0</v>
      </c>
      <c r="AB9" s="3">
        <f>IF(AND(VLOOKUP(AB$1,test!$A$3:$F$32,5,FALSE) - VLOOKUP($B9,test!$A$3:$G$32,6,FALSE) &gt;= (test!$B$33)/1440),1,0)</f>
        <v>0</v>
      </c>
      <c r="AC9" s="3">
        <f>IF(AND(VLOOKUP(AC$1,test!$A$3:$F$32,5,FALSE) - VLOOKUP($B9,test!$A$3:$G$32,6,FALSE) &gt;= (test!$B$33)/1440),1,0)</f>
        <v>0</v>
      </c>
      <c r="AD9" s="3">
        <f>IF(AND(VLOOKUP(AD$1,test!$A$3:$F$32,5,FALSE) - VLOOKUP($B9,test!$A$3:$G$32,6,FALSE) &gt;= (test!$B$33)/1440),1,0)</f>
        <v>0</v>
      </c>
      <c r="AE9" s="3">
        <f>IF(AND(VLOOKUP(AE$1,test!$A$3:$F$32,5,FALSE) - VLOOKUP($B9,test!$A$3:$G$32,6,FALSE) &gt;= (test!$B$33)/1440),1,0)</f>
        <v>0</v>
      </c>
      <c r="AF9" s="3">
        <f>IF(AND(VLOOKUP(AF$1,test!$A$3:$F$32,5,FALSE) - VLOOKUP($B9,test!$A$3:$G$32,6,FALSE) &gt;= (test!$B$33)/1440),1,0)</f>
        <v>0</v>
      </c>
      <c r="AG9" s="3">
        <f>IF(AND(VLOOKUP(AG$1,test!$A$3:$F$32,5,FALSE) - VLOOKUP($B9,test!$A$3:$G$32,6,FALSE) &gt;= (test!$B$33)/1440),1,0)</f>
        <v>0</v>
      </c>
    </row>
    <row r="10" spans="1:34" x14ac:dyDescent="0.25">
      <c r="A10" t="s">
        <v>49</v>
      </c>
      <c r="B10" t="s">
        <v>15</v>
      </c>
      <c r="C10">
        <v>0</v>
      </c>
      <c r="D10" s="3">
        <f>IF(AND(VLOOKUP(D$1,test!$A$3:$F$32,5,FALSE) - VLOOKUP($B10,test!$A$3:$G$32,6,FALSE) &gt;= (test!$B$33)/1440),1,0)</f>
        <v>0</v>
      </c>
      <c r="E10" s="3">
        <f>IF(AND(VLOOKUP(E$1,test!$A$3:$F$32,5,FALSE) - VLOOKUP($B10,test!$A$3:$G$32,6,FALSE) &gt;= (test!$B$33)/1440),1,0)</f>
        <v>0</v>
      </c>
      <c r="F10" s="3">
        <f>IF(AND(VLOOKUP(F$1,test!$A$3:$F$32,5,FALSE) - VLOOKUP($B10,test!$A$3:$G$32,6,FALSE) &gt;= (test!$B$33)/1440),1,0)</f>
        <v>0</v>
      </c>
      <c r="G10" s="3">
        <f>IF(AND(VLOOKUP(G$1,test!$A$3:$F$32,5,FALSE) - VLOOKUP($B10,test!$A$3:$G$32,6,FALSE) &gt;= (test!$B$33)/1440),1,0)</f>
        <v>0</v>
      </c>
      <c r="H10" s="3">
        <f>IF(AND(VLOOKUP(H$1,test!$A$3:$F$32,5,FALSE) - VLOOKUP($B10,test!$A$3:$G$32,6,FALSE) &gt;= (test!$B$33)/1440),1,0)</f>
        <v>0</v>
      </c>
      <c r="I10" s="3">
        <f>IF(AND(VLOOKUP(I$1,test!$A$3:$F$32,5,FALSE) - VLOOKUP($B10,test!$A$3:$G$32,6,FALSE) &gt;= (test!$B$33)/1440),1,0)</f>
        <v>0</v>
      </c>
      <c r="J10" s="3">
        <f>IF(AND(VLOOKUP(J$1,test!$A$3:$F$32,5,FALSE) - VLOOKUP($B10,test!$A$3:$G$32,6,FALSE) &gt;= (test!$B$33)/1440),1,0)</f>
        <v>0</v>
      </c>
      <c r="K10" s="3">
        <f>IF(AND(VLOOKUP(K$1,test!$A$3:$F$32,5,FALSE) - VLOOKUP($B10,test!$A$3:$G$32,6,FALSE) &gt;= (test!$B$33)/1440),1,0)</f>
        <v>0</v>
      </c>
      <c r="L10" s="3">
        <f>IF(AND(VLOOKUP(L$1,test!$A$3:$F$32,5,FALSE) - VLOOKUP($B10,test!$A$3:$G$32,6,FALSE) &gt;= (test!$B$33)/1440),1,0)</f>
        <v>0</v>
      </c>
      <c r="M10" s="3">
        <f>IF(AND(VLOOKUP(M$1,test!$A$3:$F$32,5,FALSE) - VLOOKUP($B10,test!$A$3:$G$32,6,FALSE) &gt;= (test!$B$33)/1440),1,0)</f>
        <v>0</v>
      </c>
      <c r="N10" s="3">
        <f>IF(AND(VLOOKUP(N$1,test!$A$3:$F$32,5,FALSE) - VLOOKUP($B10,test!$A$3:$G$32,6,FALSE) &gt;= (test!$B$33)/1440),1,0)</f>
        <v>0</v>
      </c>
      <c r="O10" s="3">
        <f>IF(AND(VLOOKUP(O$1,test!$A$3:$F$32,5,FALSE) - VLOOKUP($B10,test!$A$3:$G$32,6,FALSE) &gt;= (test!$B$33)/1440),1,0)</f>
        <v>0</v>
      </c>
      <c r="P10" s="3">
        <f>IF(AND(VLOOKUP(P$1,test!$A$3:$F$32,5,FALSE) - VLOOKUP($B10,test!$A$3:$G$32,6,FALSE) &gt;= (test!$B$33)/1440),1,0)</f>
        <v>0</v>
      </c>
      <c r="Q10" s="3">
        <f>IF(AND(VLOOKUP(Q$1,test!$A$3:$F$32,5,FALSE) - VLOOKUP($B10,test!$A$3:$G$32,6,FALSE) &gt;= (test!$B$33)/1440),1,0)</f>
        <v>0</v>
      </c>
      <c r="R10" s="3">
        <f>IF(AND(VLOOKUP(R$1,test!$A$3:$F$32,5,FALSE) - VLOOKUP($B10,test!$A$3:$G$32,6,FALSE) &gt;= (test!$B$33)/1440),1,0)</f>
        <v>0</v>
      </c>
      <c r="S10" s="3">
        <f>IF(AND(VLOOKUP(S$1,test!$A$3:$F$32,5,FALSE) - VLOOKUP($B10,test!$A$3:$G$32,6,FALSE) &gt;= (test!$B$33)/1440),1,0)</f>
        <v>0</v>
      </c>
      <c r="T10" s="3">
        <f>IF(AND(VLOOKUP(T$1,test!$A$3:$F$32,5,FALSE) - VLOOKUP($B10,test!$A$3:$G$32,6,FALSE) &gt;= (test!$B$33)/1440),1,0)</f>
        <v>0</v>
      </c>
      <c r="U10" s="3">
        <f>IF(AND(VLOOKUP(U$1,test!$A$3:$F$32,5,FALSE) - VLOOKUP($B10,test!$A$3:$G$32,6,FALSE) &gt;= (test!$B$33)/1440),1,0)</f>
        <v>0</v>
      </c>
      <c r="V10" s="3">
        <f>IF(AND(VLOOKUP(V$1,test!$A$3:$F$32,5,FALSE) - VLOOKUP($B10,test!$A$3:$G$32,6,FALSE) &gt;= (test!$B$33)/1440),1,0)</f>
        <v>0</v>
      </c>
      <c r="W10" s="3">
        <f>IF(AND(VLOOKUP(W$1,test!$A$3:$F$32,5,FALSE) - VLOOKUP($B10,test!$A$3:$G$32,6,FALSE) &gt;= (test!$B$33)/1440),1,0)</f>
        <v>0</v>
      </c>
      <c r="X10" s="3">
        <f>IF(AND(VLOOKUP(X$1,test!$A$3:$F$32,5,FALSE) - VLOOKUP($B10,test!$A$3:$G$32,6,FALSE) &gt;= (test!$B$33)/1440),1,0)</f>
        <v>0</v>
      </c>
      <c r="Y10" s="3">
        <f>IF(AND(VLOOKUP(Y$1,test!$A$3:$F$32,5,FALSE) - VLOOKUP($B10,test!$A$3:$G$32,6,FALSE) &gt;= (test!$B$33)/1440),1,0)</f>
        <v>0</v>
      </c>
      <c r="Z10" s="3">
        <f>IF(AND(VLOOKUP(Z$1,test!$A$3:$F$32,5,FALSE) - VLOOKUP($B10,test!$A$3:$G$32,6,FALSE) &gt;= (test!$B$33)/1440),1,0)</f>
        <v>0</v>
      </c>
      <c r="AA10" s="3">
        <f>IF(AND(VLOOKUP(AA$1,test!$A$3:$F$32,5,FALSE) - VLOOKUP($B10,test!$A$3:$G$32,6,FALSE) &gt;= (test!$B$33)/1440),1,0)</f>
        <v>0</v>
      </c>
      <c r="AB10" s="3">
        <f>IF(AND(VLOOKUP(AB$1,test!$A$3:$F$32,5,FALSE) - VLOOKUP($B10,test!$A$3:$G$32,6,FALSE) &gt;= (test!$B$33)/1440),1,0)</f>
        <v>0</v>
      </c>
      <c r="AC10" s="3">
        <f>IF(AND(VLOOKUP(AC$1,test!$A$3:$F$32,5,FALSE) - VLOOKUP($B10,test!$A$3:$G$32,6,FALSE) &gt;= (test!$B$33)/1440),1,0)</f>
        <v>0</v>
      </c>
      <c r="AD10" s="3">
        <f>IF(AND(VLOOKUP(AD$1,test!$A$3:$F$32,5,FALSE) - VLOOKUP($B10,test!$A$3:$G$32,6,FALSE) &gt;= (test!$B$33)/1440),1,0)</f>
        <v>0</v>
      </c>
      <c r="AE10" s="3">
        <f>IF(AND(VLOOKUP(AE$1,test!$A$3:$F$32,5,FALSE) - VLOOKUP($B10,test!$A$3:$G$32,6,FALSE) &gt;= (test!$B$33)/1440),1,0)</f>
        <v>0</v>
      </c>
      <c r="AF10" s="3">
        <f>IF(AND(VLOOKUP(AF$1,test!$A$3:$F$32,5,FALSE) - VLOOKUP($B10,test!$A$3:$G$32,6,FALSE) &gt;= (test!$B$33)/1440),1,0)</f>
        <v>0</v>
      </c>
      <c r="AG10" s="3">
        <f>IF(AND(VLOOKUP(AG$1,test!$A$3:$F$32,5,FALSE) - VLOOKUP($B10,test!$A$3:$G$32,6,FALSE) &gt;= (test!$B$33)/1440),1,0)</f>
        <v>0</v>
      </c>
    </row>
    <row r="11" spans="1:34" x14ac:dyDescent="0.25">
      <c r="A11" t="s">
        <v>49</v>
      </c>
      <c r="B11" t="s">
        <v>18</v>
      </c>
      <c r="C11">
        <v>0</v>
      </c>
      <c r="D11" s="3">
        <f>IF(AND(VLOOKUP(D$1,test!$A$3:$F$32,5,FALSE) - VLOOKUP($B11,test!$A$3:$G$32,6,FALSE) &gt;= (test!$B$33)/1440),1,0)</f>
        <v>0</v>
      </c>
      <c r="E11" s="3">
        <f>IF(AND(VLOOKUP(E$1,test!$A$3:$F$32,5,FALSE) - VLOOKUP($B11,test!$A$3:$G$32,6,FALSE) &gt;= (test!$B$33)/1440),1,0)</f>
        <v>0</v>
      </c>
      <c r="F11" s="3">
        <f>IF(AND(VLOOKUP(F$1,test!$A$3:$F$32,5,FALSE) - VLOOKUP($B11,test!$A$3:$G$32,6,FALSE) &gt;= (test!$B$33)/1440),1,0)</f>
        <v>1</v>
      </c>
      <c r="G11" s="3">
        <f>IF(AND(VLOOKUP(G$1,test!$A$3:$F$32,5,FALSE) - VLOOKUP($B11,test!$A$3:$G$32,6,FALSE) &gt;= (test!$B$33)/1440),1,0)</f>
        <v>1</v>
      </c>
      <c r="H11" s="3">
        <f>IF(AND(VLOOKUP(H$1,test!$A$3:$F$32,5,FALSE) - VLOOKUP($B11,test!$A$3:$G$32,6,FALSE) &gt;= (test!$B$33)/1440),1,0)</f>
        <v>1</v>
      </c>
      <c r="I11" s="3">
        <f>IF(AND(VLOOKUP(I$1,test!$A$3:$F$32,5,FALSE) - VLOOKUP($B11,test!$A$3:$G$32,6,FALSE) &gt;= (test!$B$33)/1440),1,0)</f>
        <v>1</v>
      </c>
      <c r="J11" s="3">
        <f>IF(AND(VLOOKUP(J$1,test!$A$3:$F$32,5,FALSE) - VLOOKUP($B11,test!$A$3:$G$32,6,FALSE) &gt;= (test!$B$33)/1440),1,0)</f>
        <v>1</v>
      </c>
      <c r="K11" s="3">
        <f>IF(AND(VLOOKUP(K$1,test!$A$3:$F$32,5,FALSE) - VLOOKUP($B11,test!$A$3:$G$32,6,FALSE) &gt;= (test!$B$33)/1440),1,0)</f>
        <v>1</v>
      </c>
      <c r="L11" s="3">
        <f>IF(AND(VLOOKUP(L$1,test!$A$3:$F$32,5,FALSE) - VLOOKUP($B11,test!$A$3:$G$32,6,FALSE) &gt;= (test!$B$33)/1440),1,0)</f>
        <v>0</v>
      </c>
      <c r="M11" s="3">
        <f>IF(AND(VLOOKUP(M$1,test!$A$3:$F$32,5,FALSE) - VLOOKUP($B11,test!$A$3:$G$32,6,FALSE) &gt;= (test!$B$33)/1440),1,0)</f>
        <v>0</v>
      </c>
      <c r="N11" s="3">
        <f>IF(AND(VLOOKUP(N$1,test!$A$3:$F$32,5,FALSE) - VLOOKUP($B11,test!$A$3:$G$32,6,FALSE) &gt;= (test!$B$33)/1440),1,0)</f>
        <v>1</v>
      </c>
      <c r="O11" s="3">
        <f>IF(AND(VLOOKUP(O$1,test!$A$3:$F$32,5,FALSE) - VLOOKUP($B11,test!$A$3:$G$32,6,FALSE) &gt;= (test!$B$33)/1440),1,0)</f>
        <v>1</v>
      </c>
      <c r="P11" s="3">
        <f>IF(AND(VLOOKUP(P$1,test!$A$3:$F$32,5,FALSE) - VLOOKUP($B11,test!$A$3:$G$32,6,FALSE) &gt;= (test!$B$33)/1440),1,0)</f>
        <v>1</v>
      </c>
      <c r="Q11" s="3">
        <f>IF(AND(VLOOKUP(Q$1,test!$A$3:$F$32,5,FALSE) - VLOOKUP($B11,test!$A$3:$G$32,6,FALSE) &gt;= (test!$B$33)/1440),1,0)</f>
        <v>0</v>
      </c>
      <c r="R11" s="3">
        <f>IF(AND(VLOOKUP(R$1,test!$A$3:$F$32,5,FALSE) - VLOOKUP($B11,test!$A$3:$G$32,6,FALSE) &gt;= (test!$B$33)/1440),1,0)</f>
        <v>0</v>
      </c>
      <c r="S11" s="3">
        <f>IF(AND(VLOOKUP(S$1,test!$A$3:$F$32,5,FALSE) - VLOOKUP($B11,test!$A$3:$G$32,6,FALSE) &gt;= (test!$B$33)/1440),1,0)</f>
        <v>0</v>
      </c>
      <c r="T11" s="3">
        <f>IF(AND(VLOOKUP(T$1,test!$A$3:$F$32,5,FALSE) - VLOOKUP($B11,test!$A$3:$G$32,6,FALSE) &gt;= (test!$B$33)/1440),1,0)</f>
        <v>0</v>
      </c>
      <c r="U11" s="3">
        <f>IF(AND(VLOOKUP(U$1,test!$A$3:$F$32,5,FALSE) - VLOOKUP($B11,test!$A$3:$G$32,6,FALSE) &gt;= (test!$B$33)/1440),1,0)</f>
        <v>1</v>
      </c>
      <c r="V11" s="3">
        <f>IF(AND(VLOOKUP(V$1,test!$A$3:$F$32,5,FALSE) - VLOOKUP($B11,test!$A$3:$G$32,6,FALSE) &gt;= (test!$B$33)/1440),1,0)</f>
        <v>1</v>
      </c>
      <c r="W11" s="3">
        <f>IF(AND(VLOOKUP(W$1,test!$A$3:$F$32,5,FALSE) - VLOOKUP($B11,test!$A$3:$G$32,6,FALSE) &gt;= (test!$B$33)/1440),1,0)</f>
        <v>1</v>
      </c>
      <c r="X11" s="3">
        <f>IF(AND(VLOOKUP(X$1,test!$A$3:$F$32,5,FALSE) - VLOOKUP($B11,test!$A$3:$G$32,6,FALSE) &gt;= (test!$B$33)/1440),1,0)</f>
        <v>1</v>
      </c>
      <c r="Y11" s="3">
        <f>IF(AND(VLOOKUP(Y$1,test!$A$3:$F$32,5,FALSE) - VLOOKUP($B11,test!$A$3:$G$32,6,FALSE) &gt;= (test!$B$33)/1440),1,0)</f>
        <v>1</v>
      </c>
      <c r="Z11" s="3">
        <f>IF(AND(VLOOKUP(Z$1,test!$A$3:$F$32,5,FALSE) - VLOOKUP($B11,test!$A$3:$G$32,6,FALSE) &gt;= (test!$B$33)/1440),1,0)</f>
        <v>0</v>
      </c>
      <c r="AA11" s="3">
        <f>IF(AND(VLOOKUP(AA$1,test!$A$3:$F$32,5,FALSE) - VLOOKUP($B11,test!$A$3:$G$32,6,FALSE) &gt;= (test!$B$33)/1440),1,0)</f>
        <v>0</v>
      </c>
      <c r="AB11" s="3">
        <f>IF(AND(VLOOKUP(AB$1,test!$A$3:$F$32,5,FALSE) - VLOOKUP($B11,test!$A$3:$G$32,6,FALSE) &gt;= (test!$B$33)/1440),1,0)</f>
        <v>1</v>
      </c>
      <c r="AC11" s="3">
        <f>IF(AND(VLOOKUP(AC$1,test!$A$3:$F$32,5,FALSE) - VLOOKUP($B11,test!$A$3:$G$32,6,FALSE) &gt;= (test!$B$33)/1440),1,0)</f>
        <v>1</v>
      </c>
      <c r="AD11" s="3">
        <f>IF(AND(VLOOKUP(AD$1,test!$A$3:$F$32,5,FALSE) - VLOOKUP($B11,test!$A$3:$G$32,6,FALSE) &gt;= (test!$B$33)/1440),1,0)</f>
        <v>1</v>
      </c>
      <c r="AE11" s="3">
        <f>IF(AND(VLOOKUP(AE$1,test!$A$3:$F$32,5,FALSE) - VLOOKUP($B11,test!$A$3:$G$32,6,FALSE) &gt;= (test!$B$33)/1440),1,0)</f>
        <v>0</v>
      </c>
      <c r="AF11" s="3">
        <f>IF(AND(VLOOKUP(AF$1,test!$A$3:$F$32,5,FALSE) - VLOOKUP($B11,test!$A$3:$G$32,6,FALSE) &gt;= (test!$B$33)/1440),1,0)</f>
        <v>1</v>
      </c>
      <c r="AG11" s="3">
        <f>IF(AND(VLOOKUP(AG$1,test!$A$3:$F$32,5,FALSE) - VLOOKUP($B11,test!$A$3:$G$32,6,FALSE) &gt;= (test!$B$33)/1440),1,0)</f>
        <v>1</v>
      </c>
    </row>
    <row r="12" spans="1:34" x14ac:dyDescent="0.25">
      <c r="A12" t="s">
        <v>49</v>
      </c>
      <c r="B12" t="s">
        <v>20</v>
      </c>
      <c r="C12">
        <v>0</v>
      </c>
      <c r="D12" s="3">
        <f>IF(AND(VLOOKUP(D$1,test!$A$3:$F$32,5,FALSE) - VLOOKUP($B12,test!$A$3:$G$32,6,FALSE) &gt;= (test!$B$33)/1440),1,0)</f>
        <v>0</v>
      </c>
      <c r="E12" s="3">
        <f>IF(AND(VLOOKUP(E$1,test!$A$3:$F$32,5,FALSE) - VLOOKUP($B12,test!$A$3:$G$32,6,FALSE) &gt;= (test!$B$33)/1440),1,0)</f>
        <v>0</v>
      </c>
      <c r="F12" s="3">
        <f>IF(AND(VLOOKUP(F$1,test!$A$3:$F$32,5,FALSE) - VLOOKUP($B12,test!$A$3:$G$32,6,FALSE) &gt;= (test!$B$33)/1440),1,0)</f>
        <v>0</v>
      </c>
      <c r="G12" s="3">
        <f>IF(AND(VLOOKUP(G$1,test!$A$3:$F$32,5,FALSE) - VLOOKUP($B12,test!$A$3:$G$32,6,FALSE) &gt;= (test!$B$33)/1440),1,0)</f>
        <v>1</v>
      </c>
      <c r="H12" s="3">
        <f>IF(AND(VLOOKUP(H$1,test!$A$3:$F$32,5,FALSE) - VLOOKUP($B12,test!$A$3:$G$32,6,FALSE) &gt;= (test!$B$33)/1440),1,0)</f>
        <v>1</v>
      </c>
      <c r="I12" s="3">
        <f>IF(AND(VLOOKUP(I$1,test!$A$3:$F$32,5,FALSE) - VLOOKUP($B12,test!$A$3:$G$32,6,FALSE) &gt;= (test!$B$33)/1440),1,0)</f>
        <v>1</v>
      </c>
      <c r="J12" s="3">
        <f>IF(AND(VLOOKUP(J$1,test!$A$3:$F$32,5,FALSE) - VLOOKUP($B12,test!$A$3:$G$32,6,FALSE) &gt;= (test!$B$33)/1440),1,0)</f>
        <v>1</v>
      </c>
      <c r="K12" s="3">
        <f>IF(AND(VLOOKUP(K$1,test!$A$3:$F$32,5,FALSE) - VLOOKUP($B12,test!$A$3:$G$32,6,FALSE) &gt;= (test!$B$33)/1440),1,0)</f>
        <v>1</v>
      </c>
      <c r="L12" s="3">
        <f>IF(AND(VLOOKUP(L$1,test!$A$3:$F$32,5,FALSE) - VLOOKUP($B12,test!$A$3:$G$32,6,FALSE) &gt;= (test!$B$33)/1440),1,0)</f>
        <v>0</v>
      </c>
      <c r="M12" s="3">
        <f>IF(AND(VLOOKUP(M$1,test!$A$3:$F$32,5,FALSE) - VLOOKUP($B12,test!$A$3:$G$32,6,FALSE) &gt;= (test!$B$33)/1440),1,0)</f>
        <v>0</v>
      </c>
      <c r="N12" s="3">
        <f>IF(AND(VLOOKUP(N$1,test!$A$3:$F$32,5,FALSE) - VLOOKUP($B12,test!$A$3:$G$32,6,FALSE) &gt;= (test!$B$33)/1440),1,0)</f>
        <v>0</v>
      </c>
      <c r="O12" s="3">
        <f>IF(AND(VLOOKUP(O$1,test!$A$3:$F$32,5,FALSE) - VLOOKUP($B12,test!$A$3:$G$32,6,FALSE) &gt;= (test!$B$33)/1440),1,0)</f>
        <v>1</v>
      </c>
      <c r="P12" s="3">
        <f>IF(AND(VLOOKUP(P$1,test!$A$3:$F$32,5,FALSE) - VLOOKUP($B12,test!$A$3:$G$32,6,FALSE) &gt;= (test!$B$33)/1440),1,0)</f>
        <v>1</v>
      </c>
      <c r="Q12" s="3">
        <f>IF(AND(VLOOKUP(Q$1,test!$A$3:$F$32,5,FALSE) - VLOOKUP($B12,test!$A$3:$G$32,6,FALSE) &gt;= (test!$B$33)/1440),1,0)</f>
        <v>0</v>
      </c>
      <c r="R12" s="3">
        <f>IF(AND(VLOOKUP(R$1,test!$A$3:$F$32,5,FALSE) - VLOOKUP($B12,test!$A$3:$G$32,6,FALSE) &gt;= (test!$B$33)/1440),1,0)</f>
        <v>0</v>
      </c>
      <c r="S12" s="3">
        <f>IF(AND(VLOOKUP(S$1,test!$A$3:$F$32,5,FALSE) - VLOOKUP($B12,test!$A$3:$G$32,6,FALSE) &gt;= (test!$B$33)/1440),1,0)</f>
        <v>0</v>
      </c>
      <c r="T12" s="3">
        <f>IF(AND(VLOOKUP(T$1,test!$A$3:$F$32,5,FALSE) - VLOOKUP($B12,test!$A$3:$G$32,6,FALSE) &gt;= (test!$B$33)/1440),1,0)</f>
        <v>0</v>
      </c>
      <c r="U12" s="3">
        <f>IF(AND(VLOOKUP(U$1,test!$A$3:$F$32,5,FALSE) - VLOOKUP($B12,test!$A$3:$G$32,6,FALSE) &gt;= (test!$B$33)/1440),1,0)</f>
        <v>0</v>
      </c>
      <c r="V12" s="3">
        <f>IF(AND(VLOOKUP(V$1,test!$A$3:$F$32,5,FALSE) - VLOOKUP($B12,test!$A$3:$G$32,6,FALSE) &gt;= (test!$B$33)/1440),1,0)</f>
        <v>1</v>
      </c>
      <c r="W12" s="3">
        <f>IF(AND(VLOOKUP(W$1,test!$A$3:$F$32,5,FALSE) - VLOOKUP($B12,test!$A$3:$G$32,6,FALSE) &gt;= (test!$B$33)/1440),1,0)</f>
        <v>1</v>
      </c>
      <c r="X12" s="3">
        <f>IF(AND(VLOOKUP(X$1,test!$A$3:$F$32,5,FALSE) - VLOOKUP($B12,test!$A$3:$G$32,6,FALSE) &gt;= (test!$B$33)/1440),1,0)</f>
        <v>1</v>
      </c>
      <c r="Y12" s="3">
        <f>IF(AND(VLOOKUP(Y$1,test!$A$3:$F$32,5,FALSE) - VLOOKUP($B12,test!$A$3:$G$32,6,FALSE) &gt;= (test!$B$33)/1440),1,0)</f>
        <v>1</v>
      </c>
      <c r="Z12" s="3">
        <f>IF(AND(VLOOKUP(Z$1,test!$A$3:$F$32,5,FALSE) - VLOOKUP($B12,test!$A$3:$G$32,6,FALSE) &gt;= (test!$B$33)/1440),1,0)</f>
        <v>0</v>
      </c>
      <c r="AA12" s="3">
        <f>IF(AND(VLOOKUP(AA$1,test!$A$3:$F$32,5,FALSE) - VLOOKUP($B12,test!$A$3:$G$32,6,FALSE) &gt;= (test!$B$33)/1440),1,0)</f>
        <v>0</v>
      </c>
      <c r="AB12" s="3">
        <f>IF(AND(VLOOKUP(AB$1,test!$A$3:$F$32,5,FALSE) - VLOOKUP($B12,test!$A$3:$G$32,6,FALSE) &gt;= (test!$B$33)/1440),1,0)</f>
        <v>0</v>
      </c>
      <c r="AC12" s="3">
        <f>IF(AND(VLOOKUP(AC$1,test!$A$3:$F$32,5,FALSE) - VLOOKUP($B12,test!$A$3:$G$32,6,FALSE) &gt;= (test!$B$33)/1440),1,0)</f>
        <v>1</v>
      </c>
      <c r="AD12" s="3">
        <f>IF(AND(VLOOKUP(AD$1,test!$A$3:$F$32,5,FALSE) - VLOOKUP($B12,test!$A$3:$G$32,6,FALSE) &gt;= (test!$B$33)/1440),1,0)</f>
        <v>1</v>
      </c>
      <c r="AE12" s="3">
        <f>IF(AND(VLOOKUP(AE$1,test!$A$3:$F$32,5,FALSE) - VLOOKUP($B12,test!$A$3:$G$32,6,FALSE) &gt;= (test!$B$33)/1440),1,0)</f>
        <v>0</v>
      </c>
      <c r="AF12" s="3">
        <f>IF(AND(VLOOKUP(AF$1,test!$A$3:$F$32,5,FALSE) - VLOOKUP($B12,test!$A$3:$G$32,6,FALSE) &gt;= (test!$B$33)/1440),1,0)</f>
        <v>0</v>
      </c>
      <c r="AG12" s="3">
        <f>IF(AND(VLOOKUP(AG$1,test!$A$3:$F$32,5,FALSE) - VLOOKUP($B12,test!$A$3:$G$32,6,FALSE) &gt;= (test!$B$33)/1440),1,0)</f>
        <v>0</v>
      </c>
    </row>
    <row r="13" spans="1:34" x14ac:dyDescent="0.25">
      <c r="A13" t="s">
        <v>49</v>
      </c>
      <c r="B13" t="s">
        <v>21</v>
      </c>
      <c r="C13">
        <v>0</v>
      </c>
      <c r="D13" s="3">
        <f>IF(AND(VLOOKUP(D$1,test!$A$3:$F$32,5,FALSE) - VLOOKUP($B13,test!$A$3:$G$32,6,FALSE) &gt;= (test!$B$33)/1440),1,0)</f>
        <v>0</v>
      </c>
      <c r="E13" s="3">
        <f>IF(AND(VLOOKUP(E$1,test!$A$3:$F$32,5,FALSE) - VLOOKUP($B13,test!$A$3:$G$32,6,FALSE) &gt;= (test!$B$33)/1440),1,0)</f>
        <v>0</v>
      </c>
      <c r="F13" s="3">
        <f>IF(AND(VLOOKUP(F$1,test!$A$3:$F$32,5,FALSE) - VLOOKUP($B13,test!$A$3:$G$32,6,FALSE) &gt;= (test!$B$33)/1440),1,0)</f>
        <v>0</v>
      </c>
      <c r="G13" s="3">
        <f>IF(AND(VLOOKUP(G$1,test!$A$3:$F$32,5,FALSE) - VLOOKUP($B13,test!$A$3:$G$32,6,FALSE) &gt;= (test!$B$33)/1440),1,0)</f>
        <v>0</v>
      </c>
      <c r="H13" s="3">
        <f>IF(AND(VLOOKUP(H$1,test!$A$3:$F$32,5,FALSE) - VLOOKUP($B13,test!$A$3:$G$32,6,FALSE) &gt;= (test!$B$33)/1440),1,0)</f>
        <v>0</v>
      </c>
      <c r="I13" s="3">
        <f>IF(AND(VLOOKUP(I$1,test!$A$3:$F$32,5,FALSE) - VLOOKUP($B13,test!$A$3:$G$32,6,FALSE) &gt;= (test!$B$33)/1440),1,0)</f>
        <v>1</v>
      </c>
      <c r="J13" s="3">
        <f>IF(AND(VLOOKUP(J$1,test!$A$3:$F$32,5,FALSE) - VLOOKUP($B13,test!$A$3:$G$32,6,FALSE) &gt;= (test!$B$33)/1440),1,0)</f>
        <v>1</v>
      </c>
      <c r="K13" s="3">
        <f>IF(AND(VLOOKUP(K$1,test!$A$3:$F$32,5,FALSE) - VLOOKUP($B13,test!$A$3:$G$32,6,FALSE) &gt;= (test!$B$33)/1440),1,0)</f>
        <v>1</v>
      </c>
      <c r="L13" s="3">
        <f>IF(AND(VLOOKUP(L$1,test!$A$3:$F$32,5,FALSE) - VLOOKUP($B13,test!$A$3:$G$32,6,FALSE) &gt;= (test!$B$33)/1440),1,0)</f>
        <v>0</v>
      </c>
      <c r="M13" s="3">
        <f>IF(AND(VLOOKUP(M$1,test!$A$3:$F$32,5,FALSE) - VLOOKUP($B13,test!$A$3:$G$32,6,FALSE) &gt;= (test!$B$33)/1440),1,0)</f>
        <v>0</v>
      </c>
      <c r="N13" s="3">
        <f>IF(AND(VLOOKUP(N$1,test!$A$3:$F$32,5,FALSE) - VLOOKUP($B13,test!$A$3:$G$32,6,FALSE) &gt;= (test!$B$33)/1440),1,0)</f>
        <v>0</v>
      </c>
      <c r="O13" s="3">
        <f>IF(AND(VLOOKUP(O$1,test!$A$3:$F$32,5,FALSE) - VLOOKUP($B13,test!$A$3:$G$32,6,FALSE) &gt;= (test!$B$33)/1440),1,0)</f>
        <v>1</v>
      </c>
      <c r="P13" s="3">
        <f>IF(AND(VLOOKUP(P$1,test!$A$3:$F$32,5,FALSE) - VLOOKUP($B13,test!$A$3:$G$32,6,FALSE) &gt;= (test!$B$33)/1440),1,0)</f>
        <v>1</v>
      </c>
      <c r="Q13" s="3">
        <f>IF(AND(VLOOKUP(Q$1,test!$A$3:$F$32,5,FALSE) - VLOOKUP($B13,test!$A$3:$G$32,6,FALSE) &gt;= (test!$B$33)/1440),1,0)</f>
        <v>0</v>
      </c>
      <c r="R13" s="3">
        <f>IF(AND(VLOOKUP(R$1,test!$A$3:$F$32,5,FALSE) - VLOOKUP($B13,test!$A$3:$G$32,6,FALSE) &gt;= (test!$B$33)/1440),1,0)</f>
        <v>0</v>
      </c>
      <c r="S13" s="3">
        <f>IF(AND(VLOOKUP(S$1,test!$A$3:$F$32,5,FALSE) - VLOOKUP($B13,test!$A$3:$G$32,6,FALSE) &gt;= (test!$B$33)/1440),1,0)</f>
        <v>0</v>
      </c>
      <c r="T13" s="3">
        <f>IF(AND(VLOOKUP(T$1,test!$A$3:$F$32,5,FALSE) - VLOOKUP($B13,test!$A$3:$G$32,6,FALSE) &gt;= (test!$B$33)/1440),1,0)</f>
        <v>0</v>
      </c>
      <c r="U13" s="3">
        <f>IF(AND(VLOOKUP(U$1,test!$A$3:$F$32,5,FALSE) - VLOOKUP($B13,test!$A$3:$G$32,6,FALSE) &gt;= (test!$B$33)/1440),1,0)</f>
        <v>0</v>
      </c>
      <c r="V13" s="3">
        <f>IF(AND(VLOOKUP(V$1,test!$A$3:$F$32,5,FALSE) - VLOOKUP($B13,test!$A$3:$G$32,6,FALSE) &gt;= (test!$B$33)/1440),1,0)</f>
        <v>0</v>
      </c>
      <c r="W13" s="3">
        <f>IF(AND(VLOOKUP(W$1,test!$A$3:$F$32,5,FALSE) - VLOOKUP($B13,test!$A$3:$G$32,6,FALSE) &gt;= (test!$B$33)/1440),1,0)</f>
        <v>0</v>
      </c>
      <c r="X13" s="3">
        <f>IF(AND(VLOOKUP(X$1,test!$A$3:$F$32,5,FALSE) - VLOOKUP($B13,test!$A$3:$G$32,6,FALSE) &gt;= (test!$B$33)/1440),1,0)</f>
        <v>1</v>
      </c>
      <c r="Y13" s="3">
        <f>IF(AND(VLOOKUP(Y$1,test!$A$3:$F$32,5,FALSE) - VLOOKUP($B13,test!$A$3:$G$32,6,FALSE) &gt;= (test!$B$33)/1440),1,0)</f>
        <v>1</v>
      </c>
      <c r="Z13" s="3">
        <f>IF(AND(VLOOKUP(Z$1,test!$A$3:$F$32,5,FALSE) - VLOOKUP($B13,test!$A$3:$G$32,6,FALSE) &gt;= (test!$B$33)/1440),1,0)</f>
        <v>0</v>
      </c>
      <c r="AA13" s="3">
        <f>IF(AND(VLOOKUP(AA$1,test!$A$3:$F$32,5,FALSE) - VLOOKUP($B13,test!$A$3:$G$32,6,FALSE) &gt;= (test!$B$33)/1440),1,0)</f>
        <v>0</v>
      </c>
      <c r="AB13" s="3">
        <f>IF(AND(VLOOKUP(AB$1,test!$A$3:$F$32,5,FALSE) - VLOOKUP($B13,test!$A$3:$G$32,6,FALSE) &gt;= (test!$B$33)/1440),1,0)</f>
        <v>0</v>
      </c>
      <c r="AC13" s="3">
        <f>IF(AND(VLOOKUP(AC$1,test!$A$3:$F$32,5,FALSE) - VLOOKUP($B13,test!$A$3:$G$32,6,FALSE) &gt;= (test!$B$33)/1440),1,0)</f>
        <v>0</v>
      </c>
      <c r="AD13" s="3">
        <f>IF(AND(VLOOKUP(AD$1,test!$A$3:$F$32,5,FALSE) - VLOOKUP($B13,test!$A$3:$G$32,6,FALSE) &gt;= (test!$B$33)/1440),1,0)</f>
        <v>1</v>
      </c>
      <c r="AE13" s="3">
        <f>IF(AND(VLOOKUP(AE$1,test!$A$3:$F$32,5,FALSE) - VLOOKUP($B13,test!$A$3:$G$32,6,FALSE) &gt;= (test!$B$33)/1440),1,0)</f>
        <v>0</v>
      </c>
      <c r="AF13" s="3">
        <f>IF(AND(VLOOKUP(AF$1,test!$A$3:$F$32,5,FALSE) - VLOOKUP($B13,test!$A$3:$G$32,6,FALSE) &gt;= (test!$B$33)/1440),1,0)</f>
        <v>0</v>
      </c>
      <c r="AG13" s="3">
        <f>IF(AND(VLOOKUP(AG$1,test!$A$3:$F$32,5,FALSE) - VLOOKUP($B13,test!$A$3:$G$32,6,FALSE) &gt;= (test!$B$33)/1440),1,0)</f>
        <v>0</v>
      </c>
    </row>
    <row r="14" spans="1:34" x14ac:dyDescent="0.25">
      <c r="A14" t="s">
        <v>49</v>
      </c>
      <c r="B14" t="s">
        <v>22</v>
      </c>
      <c r="C14">
        <v>0</v>
      </c>
      <c r="D14" s="3">
        <f>IF(AND(VLOOKUP(D$1,test!$A$3:$F$32,5,FALSE) - VLOOKUP($B14,test!$A$3:$G$32,6,FALSE) &gt;= (test!$B$33)/1440),1,0)</f>
        <v>0</v>
      </c>
      <c r="E14" s="3">
        <f>IF(AND(VLOOKUP(E$1,test!$A$3:$F$32,5,FALSE) - VLOOKUP($B14,test!$A$3:$G$32,6,FALSE) &gt;= (test!$B$33)/1440),1,0)</f>
        <v>0</v>
      </c>
      <c r="F14" s="3">
        <f>IF(AND(VLOOKUP(F$1,test!$A$3:$F$32,5,FALSE) - VLOOKUP($B14,test!$A$3:$G$32,6,FALSE) &gt;= (test!$B$33)/1440),1,0)</f>
        <v>0</v>
      </c>
      <c r="G14" s="3">
        <f>IF(AND(VLOOKUP(G$1,test!$A$3:$F$32,5,FALSE) - VLOOKUP($B14,test!$A$3:$G$32,6,FALSE) &gt;= (test!$B$33)/1440),1,0)</f>
        <v>0</v>
      </c>
      <c r="H14" s="3">
        <f>IF(AND(VLOOKUP(H$1,test!$A$3:$F$32,5,FALSE) - VLOOKUP($B14,test!$A$3:$G$32,6,FALSE) &gt;= (test!$B$33)/1440),1,0)</f>
        <v>0</v>
      </c>
      <c r="I14" s="3">
        <f>IF(AND(VLOOKUP(I$1,test!$A$3:$F$32,5,FALSE) - VLOOKUP($B14,test!$A$3:$G$32,6,FALSE) &gt;= (test!$B$33)/1440),1,0)</f>
        <v>0</v>
      </c>
      <c r="J14" s="3">
        <f>IF(AND(VLOOKUP(J$1,test!$A$3:$F$32,5,FALSE) - VLOOKUP($B14,test!$A$3:$G$32,6,FALSE) &gt;= (test!$B$33)/1440),1,0)</f>
        <v>0</v>
      </c>
      <c r="K14" s="3">
        <f>IF(AND(VLOOKUP(K$1,test!$A$3:$F$32,5,FALSE) - VLOOKUP($B14,test!$A$3:$G$32,6,FALSE) &gt;= (test!$B$33)/1440),1,0)</f>
        <v>0</v>
      </c>
      <c r="L14" s="3">
        <f>IF(AND(VLOOKUP(L$1,test!$A$3:$F$32,5,FALSE) - VLOOKUP($B14,test!$A$3:$G$32,6,FALSE) &gt;= (test!$B$33)/1440),1,0)</f>
        <v>0</v>
      </c>
      <c r="M14" s="3">
        <f>IF(AND(VLOOKUP(M$1,test!$A$3:$F$32,5,FALSE) - VLOOKUP($B14,test!$A$3:$G$32,6,FALSE) &gt;= (test!$B$33)/1440),1,0)</f>
        <v>0</v>
      </c>
      <c r="N14" s="3">
        <f>IF(AND(VLOOKUP(N$1,test!$A$3:$F$32,5,FALSE) - VLOOKUP($B14,test!$A$3:$G$32,6,FALSE) &gt;= (test!$B$33)/1440),1,0)</f>
        <v>0</v>
      </c>
      <c r="O14" s="3">
        <f>IF(AND(VLOOKUP(O$1,test!$A$3:$F$32,5,FALSE) - VLOOKUP($B14,test!$A$3:$G$32,6,FALSE) &gt;= (test!$B$33)/1440),1,0)</f>
        <v>0</v>
      </c>
      <c r="P14" s="3">
        <f>IF(AND(VLOOKUP(P$1,test!$A$3:$F$32,5,FALSE) - VLOOKUP($B14,test!$A$3:$G$32,6,FALSE) &gt;= (test!$B$33)/1440),1,0)</f>
        <v>0</v>
      </c>
      <c r="Q14" s="3">
        <f>IF(AND(VLOOKUP(Q$1,test!$A$3:$F$32,5,FALSE) - VLOOKUP($B14,test!$A$3:$G$32,6,FALSE) &gt;= (test!$B$33)/1440),1,0)</f>
        <v>0</v>
      </c>
      <c r="R14" s="3">
        <f>IF(AND(VLOOKUP(R$1,test!$A$3:$F$32,5,FALSE) - VLOOKUP($B14,test!$A$3:$G$32,6,FALSE) &gt;= (test!$B$33)/1440),1,0)</f>
        <v>0</v>
      </c>
      <c r="S14" s="3">
        <f>IF(AND(VLOOKUP(S$1,test!$A$3:$F$32,5,FALSE) - VLOOKUP($B14,test!$A$3:$G$32,6,FALSE) &gt;= (test!$B$33)/1440),1,0)</f>
        <v>0</v>
      </c>
      <c r="T14" s="3">
        <f>IF(AND(VLOOKUP(T$1,test!$A$3:$F$32,5,FALSE) - VLOOKUP($B14,test!$A$3:$G$32,6,FALSE) &gt;= (test!$B$33)/1440),1,0)</f>
        <v>0</v>
      </c>
      <c r="U14" s="3">
        <f>IF(AND(VLOOKUP(U$1,test!$A$3:$F$32,5,FALSE) - VLOOKUP($B14,test!$A$3:$G$32,6,FALSE) &gt;= (test!$B$33)/1440),1,0)</f>
        <v>0</v>
      </c>
      <c r="V14" s="3">
        <f>IF(AND(VLOOKUP(V$1,test!$A$3:$F$32,5,FALSE) - VLOOKUP($B14,test!$A$3:$G$32,6,FALSE) &gt;= (test!$B$33)/1440),1,0)</f>
        <v>0</v>
      </c>
      <c r="W14" s="3">
        <f>IF(AND(VLOOKUP(W$1,test!$A$3:$F$32,5,FALSE) - VLOOKUP($B14,test!$A$3:$G$32,6,FALSE) &gt;= (test!$B$33)/1440),1,0)</f>
        <v>0</v>
      </c>
      <c r="X14" s="3">
        <f>IF(AND(VLOOKUP(X$1,test!$A$3:$F$32,5,FALSE) - VLOOKUP($B14,test!$A$3:$G$32,6,FALSE) &gt;= (test!$B$33)/1440),1,0)</f>
        <v>0</v>
      </c>
      <c r="Y14" s="3">
        <f>IF(AND(VLOOKUP(Y$1,test!$A$3:$F$32,5,FALSE) - VLOOKUP($B14,test!$A$3:$G$32,6,FALSE) &gt;= (test!$B$33)/1440),1,0)</f>
        <v>0</v>
      </c>
      <c r="Z14" s="3">
        <f>IF(AND(VLOOKUP(Z$1,test!$A$3:$F$32,5,FALSE) - VLOOKUP($B14,test!$A$3:$G$32,6,FALSE) &gt;= (test!$B$33)/1440),1,0)</f>
        <v>0</v>
      </c>
      <c r="AA14" s="3">
        <f>IF(AND(VLOOKUP(AA$1,test!$A$3:$F$32,5,FALSE) - VLOOKUP($B14,test!$A$3:$G$32,6,FALSE) &gt;= (test!$B$33)/1440),1,0)</f>
        <v>0</v>
      </c>
      <c r="AB14" s="3">
        <f>IF(AND(VLOOKUP(AB$1,test!$A$3:$F$32,5,FALSE) - VLOOKUP($B14,test!$A$3:$G$32,6,FALSE) &gt;= (test!$B$33)/1440),1,0)</f>
        <v>0</v>
      </c>
      <c r="AC14" s="3">
        <f>IF(AND(VLOOKUP(AC$1,test!$A$3:$F$32,5,FALSE) - VLOOKUP($B14,test!$A$3:$G$32,6,FALSE) &gt;= (test!$B$33)/1440),1,0)</f>
        <v>0</v>
      </c>
      <c r="AD14" s="3">
        <f>IF(AND(VLOOKUP(AD$1,test!$A$3:$F$32,5,FALSE) - VLOOKUP($B14,test!$A$3:$G$32,6,FALSE) &gt;= (test!$B$33)/1440),1,0)</f>
        <v>0</v>
      </c>
      <c r="AE14" s="3">
        <f>IF(AND(VLOOKUP(AE$1,test!$A$3:$F$32,5,FALSE) - VLOOKUP($B14,test!$A$3:$G$32,6,FALSE) &gt;= (test!$B$33)/1440),1,0)</f>
        <v>0</v>
      </c>
      <c r="AF14" s="3">
        <f>IF(AND(VLOOKUP(AF$1,test!$A$3:$F$32,5,FALSE) - VLOOKUP($B14,test!$A$3:$G$32,6,FALSE) &gt;= (test!$B$33)/1440),1,0)</f>
        <v>0</v>
      </c>
      <c r="AG14" s="3">
        <f>IF(AND(VLOOKUP(AG$1,test!$A$3:$F$32,5,FALSE) - VLOOKUP($B14,test!$A$3:$G$32,6,FALSE) &gt;= (test!$B$33)/1440),1,0)</f>
        <v>0</v>
      </c>
    </row>
    <row r="15" spans="1:34" x14ac:dyDescent="0.25">
      <c r="A15" t="s">
        <v>49</v>
      </c>
      <c r="B15" t="s">
        <v>23</v>
      </c>
      <c r="C15">
        <v>0</v>
      </c>
      <c r="D15" s="3">
        <f>IF(AND(VLOOKUP(D$1,test!$A$3:$F$32,5,FALSE) - VLOOKUP($B15,test!$A$3:$G$32,6,FALSE) &gt;= (test!$B$33)/1440),1,0)</f>
        <v>0</v>
      </c>
      <c r="E15" s="3">
        <f>IF(AND(VLOOKUP(E$1,test!$A$3:$F$32,5,FALSE) - VLOOKUP($B15,test!$A$3:$G$32,6,FALSE) &gt;= (test!$B$33)/1440),1,0)</f>
        <v>0</v>
      </c>
      <c r="F15" s="3">
        <f>IF(AND(VLOOKUP(F$1,test!$A$3:$F$32,5,FALSE) - VLOOKUP($B15,test!$A$3:$G$32,6,FALSE) &gt;= (test!$B$33)/1440),1,0)</f>
        <v>0</v>
      </c>
      <c r="G15" s="3">
        <f>IF(AND(VLOOKUP(G$1,test!$A$3:$F$32,5,FALSE) - VLOOKUP($B15,test!$A$3:$G$32,6,FALSE) &gt;= (test!$B$33)/1440),1,0)</f>
        <v>0</v>
      </c>
      <c r="H15" s="3">
        <f>IF(AND(VLOOKUP(H$1,test!$A$3:$F$32,5,FALSE) - VLOOKUP($B15,test!$A$3:$G$32,6,FALSE) &gt;= (test!$B$33)/1440),1,0)</f>
        <v>0</v>
      </c>
      <c r="I15" s="3">
        <f>IF(AND(VLOOKUP(I$1,test!$A$3:$F$32,5,FALSE) - VLOOKUP($B15,test!$A$3:$G$32,6,FALSE) &gt;= (test!$B$33)/1440),1,0)</f>
        <v>0</v>
      </c>
      <c r="J15" s="3">
        <f>IF(AND(VLOOKUP(J$1,test!$A$3:$F$32,5,FALSE) - VLOOKUP($B15,test!$A$3:$G$32,6,FALSE) &gt;= (test!$B$33)/1440),1,0)</f>
        <v>0</v>
      </c>
      <c r="K15" s="3">
        <f>IF(AND(VLOOKUP(K$1,test!$A$3:$F$32,5,FALSE) - VLOOKUP($B15,test!$A$3:$G$32,6,FALSE) &gt;= (test!$B$33)/1440),1,0)</f>
        <v>0</v>
      </c>
      <c r="L15" s="3">
        <f>IF(AND(VLOOKUP(L$1,test!$A$3:$F$32,5,FALSE) - VLOOKUP($B15,test!$A$3:$G$32,6,FALSE) &gt;= (test!$B$33)/1440),1,0)</f>
        <v>0</v>
      </c>
      <c r="M15" s="3">
        <f>IF(AND(VLOOKUP(M$1,test!$A$3:$F$32,5,FALSE) - VLOOKUP($B15,test!$A$3:$G$32,6,FALSE) &gt;= (test!$B$33)/1440),1,0)</f>
        <v>0</v>
      </c>
      <c r="N15" s="3">
        <f>IF(AND(VLOOKUP(N$1,test!$A$3:$F$32,5,FALSE) - VLOOKUP($B15,test!$A$3:$G$32,6,FALSE) &gt;= (test!$B$33)/1440),1,0)</f>
        <v>0</v>
      </c>
      <c r="O15" s="3">
        <f>IF(AND(VLOOKUP(O$1,test!$A$3:$F$32,5,FALSE) - VLOOKUP($B15,test!$A$3:$G$32,6,FALSE) &gt;= (test!$B$33)/1440),1,0)</f>
        <v>0</v>
      </c>
      <c r="P15" s="3">
        <f>IF(AND(VLOOKUP(P$1,test!$A$3:$F$32,5,FALSE) - VLOOKUP($B15,test!$A$3:$G$32,6,FALSE) &gt;= (test!$B$33)/1440),1,0)</f>
        <v>0</v>
      </c>
      <c r="Q15" s="3">
        <f>IF(AND(VLOOKUP(Q$1,test!$A$3:$F$32,5,FALSE) - VLOOKUP($B15,test!$A$3:$G$32,6,FALSE) &gt;= (test!$B$33)/1440),1,0)</f>
        <v>0</v>
      </c>
      <c r="R15" s="3">
        <f>IF(AND(VLOOKUP(R$1,test!$A$3:$F$32,5,FALSE) - VLOOKUP($B15,test!$A$3:$G$32,6,FALSE) &gt;= (test!$B$33)/1440),1,0)</f>
        <v>0</v>
      </c>
      <c r="S15" s="3">
        <f>IF(AND(VLOOKUP(S$1,test!$A$3:$F$32,5,FALSE) - VLOOKUP($B15,test!$A$3:$G$32,6,FALSE) &gt;= (test!$B$33)/1440),1,0)</f>
        <v>0</v>
      </c>
      <c r="T15" s="3">
        <f>IF(AND(VLOOKUP(T$1,test!$A$3:$F$32,5,FALSE) - VLOOKUP($B15,test!$A$3:$G$32,6,FALSE) &gt;= (test!$B$33)/1440),1,0)</f>
        <v>0</v>
      </c>
      <c r="U15" s="3">
        <f>IF(AND(VLOOKUP(U$1,test!$A$3:$F$32,5,FALSE) - VLOOKUP($B15,test!$A$3:$G$32,6,FALSE) &gt;= (test!$B$33)/1440),1,0)</f>
        <v>0</v>
      </c>
      <c r="V15" s="3">
        <f>IF(AND(VLOOKUP(V$1,test!$A$3:$F$32,5,FALSE) - VLOOKUP($B15,test!$A$3:$G$32,6,FALSE) &gt;= (test!$B$33)/1440),1,0)</f>
        <v>0</v>
      </c>
      <c r="W15" s="3">
        <f>IF(AND(VLOOKUP(W$1,test!$A$3:$F$32,5,FALSE) - VLOOKUP($B15,test!$A$3:$G$32,6,FALSE) &gt;= (test!$B$33)/1440),1,0)</f>
        <v>0</v>
      </c>
      <c r="X15" s="3">
        <f>IF(AND(VLOOKUP(X$1,test!$A$3:$F$32,5,FALSE) - VLOOKUP($B15,test!$A$3:$G$32,6,FALSE) &gt;= (test!$B$33)/1440),1,0)</f>
        <v>0</v>
      </c>
      <c r="Y15" s="3">
        <f>IF(AND(VLOOKUP(Y$1,test!$A$3:$F$32,5,FALSE) - VLOOKUP($B15,test!$A$3:$G$32,6,FALSE) &gt;= (test!$B$33)/1440),1,0)</f>
        <v>0</v>
      </c>
      <c r="Z15" s="3">
        <f>IF(AND(VLOOKUP(Z$1,test!$A$3:$F$32,5,FALSE) - VLOOKUP($B15,test!$A$3:$G$32,6,FALSE) &gt;= (test!$B$33)/1440),1,0)</f>
        <v>0</v>
      </c>
      <c r="AA15" s="3">
        <f>IF(AND(VLOOKUP(AA$1,test!$A$3:$F$32,5,FALSE) - VLOOKUP($B15,test!$A$3:$G$32,6,FALSE) &gt;= (test!$B$33)/1440),1,0)</f>
        <v>0</v>
      </c>
      <c r="AB15" s="3">
        <f>IF(AND(VLOOKUP(AB$1,test!$A$3:$F$32,5,FALSE) - VLOOKUP($B15,test!$A$3:$G$32,6,FALSE) &gt;= (test!$B$33)/1440),1,0)</f>
        <v>0</v>
      </c>
      <c r="AC15" s="3">
        <f>IF(AND(VLOOKUP(AC$1,test!$A$3:$F$32,5,FALSE) - VLOOKUP($B15,test!$A$3:$G$32,6,FALSE) &gt;= (test!$B$33)/1440),1,0)</f>
        <v>0</v>
      </c>
      <c r="AD15" s="3">
        <f>IF(AND(VLOOKUP(AD$1,test!$A$3:$F$32,5,FALSE) - VLOOKUP($B15,test!$A$3:$G$32,6,FALSE) &gt;= (test!$B$33)/1440),1,0)</f>
        <v>0</v>
      </c>
      <c r="AE15" s="3">
        <f>IF(AND(VLOOKUP(AE$1,test!$A$3:$F$32,5,FALSE) - VLOOKUP($B15,test!$A$3:$G$32,6,FALSE) &gt;= (test!$B$33)/1440),1,0)</f>
        <v>0</v>
      </c>
      <c r="AF15" s="3">
        <f>IF(AND(VLOOKUP(AF$1,test!$A$3:$F$32,5,FALSE) - VLOOKUP($B15,test!$A$3:$G$32,6,FALSE) &gt;= (test!$B$33)/1440),1,0)</f>
        <v>0</v>
      </c>
      <c r="AG15" s="3">
        <f>IF(AND(VLOOKUP(AG$1,test!$A$3:$F$32,5,FALSE) - VLOOKUP($B15,test!$A$3:$G$32,6,FALSE) &gt;= (test!$B$33)/1440),1,0)</f>
        <v>0</v>
      </c>
    </row>
    <row r="16" spans="1:34" x14ac:dyDescent="0.25">
      <c r="A16" t="s">
        <v>49</v>
      </c>
      <c r="B16" t="s">
        <v>24</v>
      </c>
      <c r="C16">
        <v>0</v>
      </c>
      <c r="D16" s="3">
        <f>IF(AND(VLOOKUP(D$1,test!$A$3:$F$32,5,FALSE) - VLOOKUP($B16,test!$A$3:$G$32,6,FALSE) &gt;= (test!$B$33)/1440),1,0)</f>
        <v>0</v>
      </c>
      <c r="E16" s="3">
        <f>IF(AND(VLOOKUP(E$1,test!$A$3:$F$32,5,FALSE) - VLOOKUP($B16,test!$A$3:$G$32,6,FALSE) &gt;= (test!$B$33)/1440),1,0)</f>
        <v>0</v>
      </c>
      <c r="F16" s="3">
        <f>IF(AND(VLOOKUP(F$1,test!$A$3:$F$32,5,FALSE) - VLOOKUP($B16,test!$A$3:$G$32,6,FALSE) &gt;= (test!$B$33)/1440),1,0)</f>
        <v>1</v>
      </c>
      <c r="G16" s="3">
        <f>IF(AND(VLOOKUP(G$1,test!$A$3:$F$32,5,FALSE) - VLOOKUP($B16,test!$A$3:$G$32,6,FALSE) &gt;= (test!$B$33)/1440),1,0)</f>
        <v>1</v>
      </c>
      <c r="H16" s="3">
        <f>IF(AND(VLOOKUP(H$1,test!$A$3:$F$32,5,FALSE) - VLOOKUP($B16,test!$A$3:$G$32,6,FALSE) &gt;= (test!$B$33)/1440),1,0)</f>
        <v>1</v>
      </c>
      <c r="I16" s="3">
        <f>IF(AND(VLOOKUP(I$1,test!$A$3:$F$32,5,FALSE) - VLOOKUP($B16,test!$A$3:$G$32,6,FALSE) &gt;= (test!$B$33)/1440),1,0)</f>
        <v>1</v>
      </c>
      <c r="J16" s="3">
        <f>IF(AND(VLOOKUP(J$1,test!$A$3:$F$32,5,FALSE) - VLOOKUP($B16,test!$A$3:$G$32,6,FALSE) &gt;= (test!$B$33)/1440),1,0)</f>
        <v>1</v>
      </c>
      <c r="K16" s="3">
        <f>IF(AND(VLOOKUP(K$1,test!$A$3:$F$32,5,FALSE) - VLOOKUP($B16,test!$A$3:$G$32,6,FALSE) &gt;= (test!$B$33)/1440),1,0)</f>
        <v>1</v>
      </c>
      <c r="L16" s="3">
        <f>IF(AND(VLOOKUP(L$1,test!$A$3:$F$32,5,FALSE) - VLOOKUP($B16,test!$A$3:$G$32,6,FALSE) &gt;= (test!$B$33)/1440),1,0)</f>
        <v>0</v>
      </c>
      <c r="M16" s="3">
        <f>IF(AND(VLOOKUP(M$1,test!$A$3:$F$32,5,FALSE) - VLOOKUP($B16,test!$A$3:$G$32,6,FALSE) &gt;= (test!$B$33)/1440),1,0)</f>
        <v>0</v>
      </c>
      <c r="N16" s="3">
        <f>IF(AND(VLOOKUP(N$1,test!$A$3:$F$32,5,FALSE) - VLOOKUP($B16,test!$A$3:$G$32,6,FALSE) &gt;= (test!$B$33)/1440),1,0)</f>
        <v>0</v>
      </c>
      <c r="O16" s="3">
        <f>IF(AND(VLOOKUP(O$1,test!$A$3:$F$32,5,FALSE) - VLOOKUP($B16,test!$A$3:$G$32,6,FALSE) &gt;= (test!$B$33)/1440),1,0)</f>
        <v>1</v>
      </c>
      <c r="P16" s="3">
        <f>IF(AND(VLOOKUP(P$1,test!$A$3:$F$32,5,FALSE) - VLOOKUP($B16,test!$A$3:$G$32,6,FALSE) &gt;= (test!$B$33)/1440),1,0)</f>
        <v>1</v>
      </c>
      <c r="Q16" s="3">
        <f>IF(AND(VLOOKUP(Q$1,test!$A$3:$F$32,5,FALSE) - VLOOKUP($B16,test!$A$3:$G$32,6,FALSE) &gt;= (test!$B$33)/1440),1,0)</f>
        <v>0</v>
      </c>
      <c r="R16" s="3">
        <f>IF(AND(VLOOKUP(R$1,test!$A$3:$F$32,5,FALSE) - VLOOKUP($B16,test!$A$3:$G$32,6,FALSE) &gt;= (test!$B$33)/1440),1,0)</f>
        <v>0</v>
      </c>
      <c r="S16" s="3">
        <f>IF(AND(VLOOKUP(S$1,test!$A$3:$F$32,5,FALSE) - VLOOKUP($B16,test!$A$3:$G$32,6,FALSE) &gt;= (test!$B$33)/1440),1,0)</f>
        <v>0</v>
      </c>
      <c r="T16" s="3">
        <f>IF(AND(VLOOKUP(T$1,test!$A$3:$F$32,5,FALSE) - VLOOKUP($B16,test!$A$3:$G$32,6,FALSE) &gt;= (test!$B$33)/1440),1,0)</f>
        <v>0</v>
      </c>
      <c r="U16" s="3">
        <f>IF(AND(VLOOKUP(U$1,test!$A$3:$F$32,5,FALSE) - VLOOKUP($B16,test!$A$3:$G$32,6,FALSE) &gt;= (test!$B$33)/1440),1,0)</f>
        <v>0</v>
      </c>
      <c r="V16" s="3">
        <f>IF(AND(VLOOKUP(V$1,test!$A$3:$F$32,5,FALSE) - VLOOKUP($B16,test!$A$3:$G$32,6,FALSE) &gt;= (test!$B$33)/1440),1,0)</f>
        <v>1</v>
      </c>
      <c r="W16" s="3">
        <f>IF(AND(VLOOKUP(W$1,test!$A$3:$F$32,5,FALSE) - VLOOKUP($B16,test!$A$3:$G$32,6,FALSE) &gt;= (test!$B$33)/1440),1,0)</f>
        <v>1</v>
      </c>
      <c r="X16" s="3">
        <f>IF(AND(VLOOKUP(X$1,test!$A$3:$F$32,5,FALSE) - VLOOKUP($B16,test!$A$3:$G$32,6,FALSE) &gt;= (test!$B$33)/1440),1,0)</f>
        <v>1</v>
      </c>
      <c r="Y16" s="3">
        <f>IF(AND(VLOOKUP(Y$1,test!$A$3:$F$32,5,FALSE) - VLOOKUP($B16,test!$A$3:$G$32,6,FALSE) &gt;= (test!$B$33)/1440),1,0)</f>
        <v>1</v>
      </c>
      <c r="Z16" s="3">
        <f>IF(AND(VLOOKUP(Z$1,test!$A$3:$F$32,5,FALSE) - VLOOKUP($B16,test!$A$3:$G$32,6,FALSE) &gt;= (test!$B$33)/1440),1,0)</f>
        <v>0</v>
      </c>
      <c r="AA16" s="3">
        <f>IF(AND(VLOOKUP(AA$1,test!$A$3:$F$32,5,FALSE) - VLOOKUP($B16,test!$A$3:$G$32,6,FALSE) &gt;= (test!$B$33)/1440),1,0)</f>
        <v>0</v>
      </c>
      <c r="AB16" s="3">
        <f>IF(AND(VLOOKUP(AB$1,test!$A$3:$F$32,5,FALSE) - VLOOKUP($B16,test!$A$3:$G$32,6,FALSE) &gt;= (test!$B$33)/1440),1,0)</f>
        <v>1</v>
      </c>
      <c r="AC16" s="3">
        <f>IF(AND(VLOOKUP(AC$1,test!$A$3:$F$32,5,FALSE) - VLOOKUP($B16,test!$A$3:$G$32,6,FALSE) &gt;= (test!$B$33)/1440),1,0)</f>
        <v>1</v>
      </c>
      <c r="AD16" s="3">
        <f>IF(AND(VLOOKUP(AD$1,test!$A$3:$F$32,5,FALSE) - VLOOKUP($B16,test!$A$3:$G$32,6,FALSE) &gt;= (test!$B$33)/1440),1,0)</f>
        <v>1</v>
      </c>
      <c r="AE16" s="3">
        <f>IF(AND(VLOOKUP(AE$1,test!$A$3:$F$32,5,FALSE) - VLOOKUP($B16,test!$A$3:$G$32,6,FALSE) &gt;= (test!$B$33)/1440),1,0)</f>
        <v>0</v>
      </c>
      <c r="AF16" s="3">
        <f>IF(AND(VLOOKUP(AF$1,test!$A$3:$F$32,5,FALSE) - VLOOKUP($B16,test!$A$3:$G$32,6,FALSE) &gt;= (test!$B$33)/1440),1,0)</f>
        <v>1</v>
      </c>
      <c r="AG16" s="3">
        <f>IF(AND(VLOOKUP(AG$1,test!$A$3:$F$32,5,FALSE) - VLOOKUP($B16,test!$A$3:$G$32,6,FALSE) &gt;= (test!$B$33)/1440),1,0)</f>
        <v>0</v>
      </c>
    </row>
    <row r="17" spans="1:33" x14ac:dyDescent="0.25">
      <c r="A17" t="s">
        <v>49</v>
      </c>
      <c r="B17" t="s">
        <v>26</v>
      </c>
      <c r="C17">
        <v>0</v>
      </c>
      <c r="D17" s="3">
        <f>IF(AND(VLOOKUP(D$1,test!$A$3:$F$32,5,FALSE) - VLOOKUP($B17,test!$A$3:$G$32,6,FALSE) &gt;= (test!$B$33)/1440),1,0)</f>
        <v>0</v>
      </c>
      <c r="E17" s="3">
        <f>IF(AND(VLOOKUP(E$1,test!$A$3:$F$32,5,FALSE) - VLOOKUP($B17,test!$A$3:$G$32,6,FALSE) &gt;= (test!$B$33)/1440),1,0)</f>
        <v>1</v>
      </c>
      <c r="F17" s="3">
        <f>IF(AND(VLOOKUP(F$1,test!$A$3:$F$32,5,FALSE) - VLOOKUP($B17,test!$A$3:$G$32,6,FALSE) &gt;= (test!$B$33)/1440),1,0)</f>
        <v>1</v>
      </c>
      <c r="G17" s="3">
        <f>IF(AND(VLOOKUP(G$1,test!$A$3:$F$32,5,FALSE) - VLOOKUP($B17,test!$A$3:$G$32,6,FALSE) &gt;= (test!$B$33)/1440),1,0)</f>
        <v>1</v>
      </c>
      <c r="H17" s="3">
        <f>IF(AND(VLOOKUP(H$1,test!$A$3:$F$32,5,FALSE) - VLOOKUP($B17,test!$A$3:$G$32,6,FALSE) &gt;= (test!$B$33)/1440),1,0)</f>
        <v>1</v>
      </c>
      <c r="I17" s="3">
        <f>IF(AND(VLOOKUP(I$1,test!$A$3:$F$32,5,FALSE) - VLOOKUP($B17,test!$A$3:$G$32,6,FALSE) &gt;= (test!$B$33)/1440),1,0)</f>
        <v>1</v>
      </c>
      <c r="J17" s="3">
        <f>IF(AND(VLOOKUP(J$1,test!$A$3:$F$32,5,FALSE) - VLOOKUP($B17,test!$A$3:$G$32,6,FALSE) &gt;= (test!$B$33)/1440),1,0)</f>
        <v>1</v>
      </c>
      <c r="K17" s="3">
        <f>IF(AND(VLOOKUP(K$1,test!$A$3:$F$32,5,FALSE) - VLOOKUP($B17,test!$A$3:$G$32,6,FALSE) &gt;= (test!$B$33)/1440),1,0)</f>
        <v>1</v>
      </c>
      <c r="L17" s="3">
        <f>IF(AND(VLOOKUP(L$1,test!$A$3:$F$32,5,FALSE) - VLOOKUP($B17,test!$A$3:$G$32,6,FALSE) &gt;= (test!$B$33)/1440),1,0)</f>
        <v>0</v>
      </c>
      <c r="M17" s="3">
        <f>IF(AND(VLOOKUP(M$1,test!$A$3:$F$32,5,FALSE) - VLOOKUP($B17,test!$A$3:$G$32,6,FALSE) &gt;= (test!$B$33)/1440),1,0)</f>
        <v>0</v>
      </c>
      <c r="N17" s="3">
        <f>IF(AND(VLOOKUP(N$1,test!$A$3:$F$32,5,FALSE) - VLOOKUP($B17,test!$A$3:$G$32,6,FALSE) &gt;= (test!$B$33)/1440),1,0)</f>
        <v>1</v>
      </c>
      <c r="O17" s="3">
        <f>IF(AND(VLOOKUP(O$1,test!$A$3:$F$32,5,FALSE) - VLOOKUP($B17,test!$A$3:$G$32,6,FALSE) &gt;= (test!$B$33)/1440),1,0)</f>
        <v>1</v>
      </c>
      <c r="P17" s="3">
        <f>IF(AND(VLOOKUP(P$1,test!$A$3:$F$32,5,FALSE) - VLOOKUP($B17,test!$A$3:$G$32,6,FALSE) &gt;= (test!$B$33)/1440),1,0)</f>
        <v>1</v>
      </c>
      <c r="Q17" s="3">
        <f>IF(AND(VLOOKUP(Q$1,test!$A$3:$F$32,5,FALSE) - VLOOKUP($B17,test!$A$3:$G$32,6,FALSE) &gt;= (test!$B$33)/1440),1,0)</f>
        <v>0</v>
      </c>
      <c r="R17" s="3">
        <f>IF(AND(VLOOKUP(R$1,test!$A$3:$F$32,5,FALSE) - VLOOKUP($B17,test!$A$3:$G$32,6,FALSE) &gt;= (test!$B$33)/1440),1,0)</f>
        <v>0</v>
      </c>
      <c r="S17" s="3">
        <f>IF(AND(VLOOKUP(S$1,test!$A$3:$F$32,5,FALSE) - VLOOKUP($B17,test!$A$3:$G$32,6,FALSE) &gt;= (test!$B$33)/1440),1,0)</f>
        <v>0</v>
      </c>
      <c r="T17" s="3">
        <f>IF(AND(VLOOKUP(T$1,test!$A$3:$F$32,5,FALSE) - VLOOKUP($B17,test!$A$3:$G$32,6,FALSE) &gt;= (test!$B$33)/1440),1,0)</f>
        <v>0</v>
      </c>
      <c r="U17" s="3">
        <f>IF(AND(VLOOKUP(U$1,test!$A$3:$F$32,5,FALSE) - VLOOKUP($B17,test!$A$3:$G$32,6,FALSE) &gt;= (test!$B$33)/1440),1,0)</f>
        <v>1</v>
      </c>
      <c r="V17" s="3">
        <f>IF(AND(VLOOKUP(V$1,test!$A$3:$F$32,5,FALSE) - VLOOKUP($B17,test!$A$3:$G$32,6,FALSE) &gt;= (test!$B$33)/1440),1,0)</f>
        <v>1</v>
      </c>
      <c r="W17" s="3">
        <f>IF(AND(VLOOKUP(W$1,test!$A$3:$F$32,5,FALSE) - VLOOKUP($B17,test!$A$3:$G$32,6,FALSE) &gt;= (test!$B$33)/1440),1,0)</f>
        <v>1</v>
      </c>
      <c r="X17" s="3">
        <f>IF(AND(VLOOKUP(X$1,test!$A$3:$F$32,5,FALSE) - VLOOKUP($B17,test!$A$3:$G$32,6,FALSE) &gt;= (test!$B$33)/1440),1,0)</f>
        <v>1</v>
      </c>
      <c r="Y17" s="3">
        <f>IF(AND(VLOOKUP(Y$1,test!$A$3:$F$32,5,FALSE) - VLOOKUP($B17,test!$A$3:$G$32,6,FALSE) &gt;= (test!$B$33)/1440),1,0)</f>
        <v>1</v>
      </c>
      <c r="Z17" s="3">
        <f>IF(AND(VLOOKUP(Z$1,test!$A$3:$F$32,5,FALSE) - VLOOKUP($B17,test!$A$3:$G$32,6,FALSE) &gt;= (test!$B$33)/1440),1,0)</f>
        <v>0</v>
      </c>
      <c r="AA17" s="3">
        <f>IF(AND(VLOOKUP(AA$1,test!$A$3:$F$32,5,FALSE) - VLOOKUP($B17,test!$A$3:$G$32,6,FALSE) &gt;= (test!$B$33)/1440),1,0)</f>
        <v>1</v>
      </c>
      <c r="AB17" s="3">
        <f>IF(AND(VLOOKUP(AB$1,test!$A$3:$F$32,5,FALSE) - VLOOKUP($B17,test!$A$3:$G$32,6,FALSE) &gt;= (test!$B$33)/1440),1,0)</f>
        <v>1</v>
      </c>
      <c r="AC17" s="3">
        <f>IF(AND(VLOOKUP(AC$1,test!$A$3:$F$32,5,FALSE) - VLOOKUP($B17,test!$A$3:$G$32,6,FALSE) &gt;= (test!$B$33)/1440),1,0)</f>
        <v>1</v>
      </c>
      <c r="AD17" s="3">
        <f>IF(AND(VLOOKUP(AD$1,test!$A$3:$F$32,5,FALSE) - VLOOKUP($B17,test!$A$3:$G$32,6,FALSE) &gt;= (test!$B$33)/1440),1,0)</f>
        <v>1</v>
      </c>
      <c r="AE17" s="3">
        <f>IF(AND(VLOOKUP(AE$1,test!$A$3:$F$32,5,FALSE) - VLOOKUP($B17,test!$A$3:$G$32,6,FALSE) &gt;= (test!$B$33)/1440),1,0)</f>
        <v>0</v>
      </c>
      <c r="AF17" s="3">
        <f>IF(AND(VLOOKUP(AF$1,test!$A$3:$F$32,5,FALSE) - VLOOKUP($B17,test!$A$3:$G$32,6,FALSE) &gt;= (test!$B$33)/1440),1,0)</f>
        <v>1</v>
      </c>
      <c r="AG17" s="3">
        <f>IF(AND(VLOOKUP(AG$1,test!$A$3:$F$32,5,FALSE) - VLOOKUP($B17,test!$A$3:$G$32,6,FALSE) &gt;= (test!$B$33)/1440),1,0)</f>
        <v>1</v>
      </c>
    </row>
    <row r="18" spans="1:33" x14ac:dyDescent="0.25">
      <c r="A18" t="s">
        <v>49</v>
      </c>
      <c r="B18" t="s">
        <v>27</v>
      </c>
      <c r="C18">
        <v>0</v>
      </c>
      <c r="D18" s="3">
        <f>IF(AND(VLOOKUP(D$1,test!$A$3:$F$32,5,FALSE) - VLOOKUP($B18,test!$A$3:$G$32,6,FALSE) &gt;= (test!$B$33)/1440),1,0)</f>
        <v>0</v>
      </c>
      <c r="E18" s="3">
        <f>IF(AND(VLOOKUP(E$1,test!$A$3:$F$32,5,FALSE) - VLOOKUP($B18,test!$A$3:$G$32,6,FALSE) &gt;= (test!$B$33)/1440),1,0)</f>
        <v>0</v>
      </c>
      <c r="F18" s="3">
        <f>IF(AND(VLOOKUP(F$1,test!$A$3:$F$32,5,FALSE) - VLOOKUP($B18,test!$A$3:$G$32,6,FALSE) &gt;= (test!$B$33)/1440),1,0)</f>
        <v>1</v>
      </c>
      <c r="G18" s="3">
        <f>IF(AND(VLOOKUP(G$1,test!$A$3:$F$32,5,FALSE) - VLOOKUP($B18,test!$A$3:$G$32,6,FALSE) &gt;= (test!$B$33)/1440),1,0)</f>
        <v>1</v>
      </c>
      <c r="H18" s="3">
        <f>IF(AND(VLOOKUP(H$1,test!$A$3:$F$32,5,FALSE) - VLOOKUP($B18,test!$A$3:$G$32,6,FALSE) &gt;= (test!$B$33)/1440),1,0)</f>
        <v>1</v>
      </c>
      <c r="I18" s="3">
        <f>IF(AND(VLOOKUP(I$1,test!$A$3:$F$32,5,FALSE) - VLOOKUP($B18,test!$A$3:$G$32,6,FALSE) &gt;= (test!$B$33)/1440),1,0)</f>
        <v>1</v>
      </c>
      <c r="J18" s="3">
        <f>IF(AND(VLOOKUP(J$1,test!$A$3:$F$32,5,FALSE) - VLOOKUP($B18,test!$A$3:$G$32,6,FALSE) &gt;= (test!$B$33)/1440),1,0)</f>
        <v>1</v>
      </c>
      <c r="K18" s="3">
        <f>IF(AND(VLOOKUP(K$1,test!$A$3:$F$32,5,FALSE) - VLOOKUP($B18,test!$A$3:$G$32,6,FALSE) &gt;= (test!$B$33)/1440),1,0)</f>
        <v>1</v>
      </c>
      <c r="L18" s="3">
        <f>IF(AND(VLOOKUP(L$1,test!$A$3:$F$32,5,FALSE) - VLOOKUP($B18,test!$A$3:$G$32,6,FALSE) &gt;= (test!$B$33)/1440),1,0)</f>
        <v>0</v>
      </c>
      <c r="M18" s="3">
        <f>IF(AND(VLOOKUP(M$1,test!$A$3:$F$32,5,FALSE) - VLOOKUP($B18,test!$A$3:$G$32,6,FALSE) &gt;= (test!$B$33)/1440),1,0)</f>
        <v>0</v>
      </c>
      <c r="N18" s="3">
        <f>IF(AND(VLOOKUP(N$1,test!$A$3:$F$32,5,FALSE) - VLOOKUP($B18,test!$A$3:$G$32,6,FALSE) &gt;= (test!$B$33)/1440),1,0)</f>
        <v>0</v>
      </c>
      <c r="O18" s="3">
        <f>IF(AND(VLOOKUP(O$1,test!$A$3:$F$32,5,FALSE) - VLOOKUP($B18,test!$A$3:$G$32,6,FALSE) &gt;= (test!$B$33)/1440),1,0)</f>
        <v>1</v>
      </c>
      <c r="P18" s="3">
        <f>IF(AND(VLOOKUP(P$1,test!$A$3:$F$32,5,FALSE) - VLOOKUP($B18,test!$A$3:$G$32,6,FALSE) &gt;= (test!$B$33)/1440),1,0)</f>
        <v>1</v>
      </c>
      <c r="Q18" s="3">
        <f>IF(AND(VLOOKUP(Q$1,test!$A$3:$F$32,5,FALSE) - VLOOKUP($B18,test!$A$3:$G$32,6,FALSE) &gt;= (test!$B$33)/1440),1,0)</f>
        <v>0</v>
      </c>
      <c r="R18" s="3">
        <f>IF(AND(VLOOKUP(R$1,test!$A$3:$F$32,5,FALSE) - VLOOKUP($B18,test!$A$3:$G$32,6,FALSE) &gt;= (test!$B$33)/1440),1,0)</f>
        <v>0</v>
      </c>
      <c r="S18" s="3">
        <f>IF(AND(VLOOKUP(S$1,test!$A$3:$F$32,5,FALSE) - VLOOKUP($B18,test!$A$3:$G$32,6,FALSE) &gt;= (test!$B$33)/1440),1,0)</f>
        <v>0</v>
      </c>
      <c r="T18" s="3">
        <f>IF(AND(VLOOKUP(T$1,test!$A$3:$F$32,5,FALSE) - VLOOKUP($B18,test!$A$3:$G$32,6,FALSE) &gt;= (test!$B$33)/1440),1,0)</f>
        <v>0</v>
      </c>
      <c r="U18" s="3">
        <f>IF(AND(VLOOKUP(U$1,test!$A$3:$F$32,5,FALSE) - VLOOKUP($B18,test!$A$3:$G$32,6,FALSE) &gt;= (test!$B$33)/1440),1,0)</f>
        <v>0</v>
      </c>
      <c r="V18" s="3">
        <f>IF(AND(VLOOKUP(V$1,test!$A$3:$F$32,5,FALSE) - VLOOKUP($B18,test!$A$3:$G$32,6,FALSE) &gt;= (test!$B$33)/1440),1,0)</f>
        <v>1</v>
      </c>
      <c r="W18" s="3">
        <f>IF(AND(VLOOKUP(W$1,test!$A$3:$F$32,5,FALSE) - VLOOKUP($B18,test!$A$3:$G$32,6,FALSE) &gt;= (test!$B$33)/1440),1,0)</f>
        <v>1</v>
      </c>
      <c r="X18" s="3">
        <f>IF(AND(VLOOKUP(X$1,test!$A$3:$F$32,5,FALSE) - VLOOKUP($B18,test!$A$3:$G$32,6,FALSE) &gt;= (test!$B$33)/1440),1,0)</f>
        <v>1</v>
      </c>
      <c r="Y18" s="3">
        <f>IF(AND(VLOOKUP(Y$1,test!$A$3:$F$32,5,FALSE) - VLOOKUP($B18,test!$A$3:$G$32,6,FALSE) &gt;= (test!$B$33)/1440),1,0)</f>
        <v>1</v>
      </c>
      <c r="Z18" s="3">
        <f>IF(AND(VLOOKUP(Z$1,test!$A$3:$F$32,5,FALSE) - VLOOKUP($B18,test!$A$3:$G$32,6,FALSE) &gt;= (test!$B$33)/1440),1,0)</f>
        <v>0</v>
      </c>
      <c r="AA18" s="3">
        <f>IF(AND(VLOOKUP(AA$1,test!$A$3:$F$32,5,FALSE) - VLOOKUP($B18,test!$A$3:$G$32,6,FALSE) &gt;= (test!$B$33)/1440),1,0)</f>
        <v>0</v>
      </c>
      <c r="AB18" s="3">
        <f>IF(AND(VLOOKUP(AB$1,test!$A$3:$F$32,5,FALSE) - VLOOKUP($B18,test!$A$3:$G$32,6,FALSE) &gt;= (test!$B$33)/1440),1,0)</f>
        <v>1</v>
      </c>
      <c r="AC18" s="3">
        <f>IF(AND(VLOOKUP(AC$1,test!$A$3:$F$32,5,FALSE) - VLOOKUP($B18,test!$A$3:$G$32,6,FALSE) &gt;= (test!$B$33)/1440),1,0)</f>
        <v>1</v>
      </c>
      <c r="AD18" s="3">
        <f>IF(AND(VLOOKUP(AD$1,test!$A$3:$F$32,5,FALSE) - VLOOKUP($B18,test!$A$3:$G$32,6,FALSE) &gt;= (test!$B$33)/1440),1,0)</f>
        <v>1</v>
      </c>
      <c r="AE18" s="3">
        <f>IF(AND(VLOOKUP(AE$1,test!$A$3:$F$32,5,FALSE) - VLOOKUP($B18,test!$A$3:$G$32,6,FALSE) &gt;= (test!$B$33)/1440),1,0)</f>
        <v>0</v>
      </c>
      <c r="AF18" s="3">
        <f>IF(AND(VLOOKUP(AF$1,test!$A$3:$F$32,5,FALSE) - VLOOKUP($B18,test!$A$3:$G$32,6,FALSE) &gt;= (test!$B$33)/1440),1,0)</f>
        <v>1</v>
      </c>
      <c r="AG18" s="3">
        <f>IF(AND(VLOOKUP(AG$1,test!$A$3:$F$32,5,FALSE) - VLOOKUP($B18,test!$A$3:$G$32,6,FALSE) &gt;= (test!$B$33)/1440),1,0)</f>
        <v>0</v>
      </c>
    </row>
    <row r="19" spans="1:33" x14ac:dyDescent="0.25">
      <c r="A19" t="s">
        <v>49</v>
      </c>
      <c r="B19" t="s">
        <v>28</v>
      </c>
      <c r="C19">
        <v>0</v>
      </c>
      <c r="D19" s="3">
        <f>IF(AND(VLOOKUP(D$1,test!$A$3:$F$32,5,FALSE) - VLOOKUP($B19,test!$A$3:$G$32,6,FALSE) &gt;= (test!$B$33)/1440),1,0)</f>
        <v>0</v>
      </c>
      <c r="E19" s="3">
        <f>IF(AND(VLOOKUP(E$1,test!$A$3:$F$32,5,FALSE) - VLOOKUP($B19,test!$A$3:$G$32,6,FALSE) &gt;= (test!$B$33)/1440),1,0)</f>
        <v>0</v>
      </c>
      <c r="F19" s="3">
        <f>IF(AND(VLOOKUP(F$1,test!$A$3:$F$32,5,FALSE) - VLOOKUP($B19,test!$A$3:$G$32,6,FALSE) &gt;= (test!$B$33)/1440),1,0)</f>
        <v>0</v>
      </c>
      <c r="G19" s="3">
        <f>IF(AND(VLOOKUP(G$1,test!$A$3:$F$32,5,FALSE) - VLOOKUP($B19,test!$A$3:$G$32,6,FALSE) &gt;= (test!$B$33)/1440),1,0)</f>
        <v>1</v>
      </c>
      <c r="H19" s="3">
        <f>IF(AND(VLOOKUP(H$1,test!$A$3:$F$32,5,FALSE) - VLOOKUP($B19,test!$A$3:$G$32,6,FALSE) &gt;= (test!$B$33)/1440),1,0)</f>
        <v>1</v>
      </c>
      <c r="I19" s="3">
        <f>IF(AND(VLOOKUP(I$1,test!$A$3:$F$32,5,FALSE) - VLOOKUP($B19,test!$A$3:$G$32,6,FALSE) &gt;= (test!$B$33)/1440),1,0)</f>
        <v>1</v>
      </c>
      <c r="J19" s="3">
        <f>IF(AND(VLOOKUP(J$1,test!$A$3:$F$32,5,FALSE) - VLOOKUP($B19,test!$A$3:$G$32,6,FALSE) &gt;= (test!$B$33)/1440),1,0)</f>
        <v>1</v>
      </c>
      <c r="K19" s="3">
        <f>IF(AND(VLOOKUP(K$1,test!$A$3:$F$32,5,FALSE) - VLOOKUP($B19,test!$A$3:$G$32,6,FALSE) &gt;= (test!$B$33)/1440),1,0)</f>
        <v>1</v>
      </c>
      <c r="L19" s="3">
        <f>IF(AND(VLOOKUP(L$1,test!$A$3:$F$32,5,FALSE) - VLOOKUP($B19,test!$A$3:$G$32,6,FALSE) &gt;= (test!$B$33)/1440),1,0)</f>
        <v>0</v>
      </c>
      <c r="M19" s="3">
        <f>IF(AND(VLOOKUP(M$1,test!$A$3:$F$32,5,FALSE) - VLOOKUP($B19,test!$A$3:$G$32,6,FALSE) &gt;= (test!$B$33)/1440),1,0)</f>
        <v>0</v>
      </c>
      <c r="N19" s="3">
        <f>IF(AND(VLOOKUP(N$1,test!$A$3:$F$32,5,FALSE) - VLOOKUP($B19,test!$A$3:$G$32,6,FALSE) &gt;= (test!$B$33)/1440),1,0)</f>
        <v>0</v>
      </c>
      <c r="O19" s="3">
        <f>IF(AND(VLOOKUP(O$1,test!$A$3:$F$32,5,FALSE) - VLOOKUP($B19,test!$A$3:$G$32,6,FALSE) &gt;= (test!$B$33)/1440),1,0)</f>
        <v>1</v>
      </c>
      <c r="P19" s="3">
        <f>IF(AND(VLOOKUP(P$1,test!$A$3:$F$32,5,FALSE) - VLOOKUP($B19,test!$A$3:$G$32,6,FALSE) &gt;= (test!$B$33)/1440),1,0)</f>
        <v>1</v>
      </c>
      <c r="Q19" s="3">
        <f>IF(AND(VLOOKUP(Q$1,test!$A$3:$F$32,5,FALSE) - VLOOKUP($B19,test!$A$3:$G$32,6,FALSE) &gt;= (test!$B$33)/1440),1,0)</f>
        <v>0</v>
      </c>
      <c r="R19" s="3">
        <f>IF(AND(VLOOKUP(R$1,test!$A$3:$F$32,5,FALSE) - VLOOKUP($B19,test!$A$3:$G$32,6,FALSE) &gt;= (test!$B$33)/1440),1,0)</f>
        <v>0</v>
      </c>
      <c r="S19" s="3">
        <f>IF(AND(VLOOKUP(S$1,test!$A$3:$F$32,5,FALSE) - VLOOKUP($B19,test!$A$3:$G$32,6,FALSE) &gt;= (test!$B$33)/1440),1,0)</f>
        <v>0</v>
      </c>
      <c r="T19" s="3">
        <f>IF(AND(VLOOKUP(T$1,test!$A$3:$F$32,5,FALSE) - VLOOKUP($B19,test!$A$3:$G$32,6,FALSE) &gt;= (test!$B$33)/1440),1,0)</f>
        <v>0</v>
      </c>
      <c r="U19" s="3">
        <f>IF(AND(VLOOKUP(U$1,test!$A$3:$F$32,5,FALSE) - VLOOKUP($B19,test!$A$3:$G$32,6,FALSE) &gt;= (test!$B$33)/1440),1,0)</f>
        <v>0</v>
      </c>
      <c r="V19" s="3">
        <f>IF(AND(VLOOKUP(V$1,test!$A$3:$F$32,5,FALSE) - VLOOKUP($B19,test!$A$3:$G$32,6,FALSE) &gt;= (test!$B$33)/1440),1,0)</f>
        <v>0</v>
      </c>
      <c r="W19" s="3">
        <f>IF(AND(VLOOKUP(W$1,test!$A$3:$F$32,5,FALSE) - VLOOKUP($B19,test!$A$3:$G$32,6,FALSE) &gt;= (test!$B$33)/1440),1,0)</f>
        <v>1</v>
      </c>
      <c r="X19" s="3">
        <f>IF(AND(VLOOKUP(X$1,test!$A$3:$F$32,5,FALSE) - VLOOKUP($B19,test!$A$3:$G$32,6,FALSE) &gt;= (test!$B$33)/1440),1,0)</f>
        <v>1</v>
      </c>
      <c r="Y19" s="3">
        <f>IF(AND(VLOOKUP(Y$1,test!$A$3:$F$32,5,FALSE) - VLOOKUP($B19,test!$A$3:$G$32,6,FALSE) &gt;= (test!$B$33)/1440),1,0)</f>
        <v>1</v>
      </c>
      <c r="Z19" s="3">
        <f>IF(AND(VLOOKUP(Z$1,test!$A$3:$F$32,5,FALSE) - VLOOKUP($B19,test!$A$3:$G$32,6,FALSE) &gt;= (test!$B$33)/1440),1,0)</f>
        <v>0</v>
      </c>
      <c r="AA19" s="3">
        <f>IF(AND(VLOOKUP(AA$1,test!$A$3:$F$32,5,FALSE) - VLOOKUP($B19,test!$A$3:$G$32,6,FALSE) &gt;= (test!$B$33)/1440),1,0)</f>
        <v>0</v>
      </c>
      <c r="AB19" s="3">
        <f>IF(AND(VLOOKUP(AB$1,test!$A$3:$F$32,5,FALSE) - VLOOKUP($B19,test!$A$3:$G$32,6,FALSE) &gt;= (test!$B$33)/1440),1,0)</f>
        <v>0</v>
      </c>
      <c r="AC19" s="3">
        <f>IF(AND(VLOOKUP(AC$1,test!$A$3:$F$32,5,FALSE) - VLOOKUP($B19,test!$A$3:$G$32,6,FALSE) &gt;= (test!$B$33)/1440),1,0)</f>
        <v>1</v>
      </c>
      <c r="AD19" s="3">
        <f>IF(AND(VLOOKUP(AD$1,test!$A$3:$F$32,5,FALSE) - VLOOKUP($B19,test!$A$3:$G$32,6,FALSE) &gt;= (test!$B$33)/1440),1,0)</f>
        <v>1</v>
      </c>
      <c r="AE19" s="3">
        <f>IF(AND(VLOOKUP(AE$1,test!$A$3:$F$32,5,FALSE) - VLOOKUP($B19,test!$A$3:$G$32,6,FALSE) &gt;= (test!$B$33)/1440),1,0)</f>
        <v>0</v>
      </c>
      <c r="AF19" s="3">
        <f>IF(AND(VLOOKUP(AF$1,test!$A$3:$F$32,5,FALSE) - VLOOKUP($B19,test!$A$3:$G$32,6,FALSE) &gt;= (test!$B$33)/1440),1,0)</f>
        <v>0</v>
      </c>
      <c r="AG19" s="3">
        <f>IF(AND(VLOOKUP(AG$1,test!$A$3:$F$32,5,FALSE) - VLOOKUP($B19,test!$A$3:$G$32,6,FALSE) &gt;= (test!$B$33)/1440),1,0)</f>
        <v>0</v>
      </c>
    </row>
    <row r="20" spans="1:33" x14ac:dyDescent="0.25">
      <c r="A20" t="s">
        <v>49</v>
      </c>
      <c r="B20" t="s">
        <v>29</v>
      </c>
      <c r="C20">
        <v>0</v>
      </c>
      <c r="D20" s="3">
        <f>IF(AND(VLOOKUP(D$1,test!$A$3:$F$32,5,FALSE) - VLOOKUP($B20,test!$A$3:$G$32,6,FALSE) &gt;= (test!$B$33)/1440),1,0)</f>
        <v>0</v>
      </c>
      <c r="E20" s="3">
        <f>IF(AND(VLOOKUP(E$1,test!$A$3:$F$32,5,FALSE) - VLOOKUP($B20,test!$A$3:$G$32,6,FALSE) &gt;= (test!$B$33)/1440),1,0)</f>
        <v>0</v>
      </c>
      <c r="F20" s="3">
        <f>IF(AND(VLOOKUP(F$1,test!$A$3:$F$32,5,FALSE) - VLOOKUP($B20,test!$A$3:$G$32,6,FALSE) &gt;= (test!$B$33)/1440),1,0)</f>
        <v>0</v>
      </c>
      <c r="G20" s="3">
        <f>IF(AND(VLOOKUP(G$1,test!$A$3:$F$32,5,FALSE) - VLOOKUP($B20,test!$A$3:$G$32,6,FALSE) &gt;= (test!$B$33)/1440),1,0)</f>
        <v>0</v>
      </c>
      <c r="H20" s="3">
        <f>IF(AND(VLOOKUP(H$1,test!$A$3:$F$32,5,FALSE) - VLOOKUP($B20,test!$A$3:$G$32,6,FALSE) &gt;= (test!$B$33)/1440),1,0)</f>
        <v>0</v>
      </c>
      <c r="I20" s="3">
        <f>IF(AND(VLOOKUP(I$1,test!$A$3:$F$32,5,FALSE) - VLOOKUP($B20,test!$A$3:$G$32,6,FALSE) &gt;= (test!$B$33)/1440),1,0)</f>
        <v>1</v>
      </c>
      <c r="J20" s="3">
        <f>IF(AND(VLOOKUP(J$1,test!$A$3:$F$32,5,FALSE) - VLOOKUP($B20,test!$A$3:$G$32,6,FALSE) &gt;= (test!$B$33)/1440),1,0)</f>
        <v>1</v>
      </c>
      <c r="K20" s="3">
        <f>IF(AND(VLOOKUP(K$1,test!$A$3:$F$32,5,FALSE) - VLOOKUP($B20,test!$A$3:$G$32,6,FALSE) &gt;= (test!$B$33)/1440),1,0)</f>
        <v>1</v>
      </c>
      <c r="L20" s="3">
        <f>IF(AND(VLOOKUP(L$1,test!$A$3:$F$32,5,FALSE) - VLOOKUP($B20,test!$A$3:$G$32,6,FALSE) &gt;= (test!$B$33)/1440),1,0)</f>
        <v>0</v>
      </c>
      <c r="M20" s="3">
        <f>IF(AND(VLOOKUP(M$1,test!$A$3:$F$32,5,FALSE) - VLOOKUP($B20,test!$A$3:$G$32,6,FALSE) &gt;= (test!$B$33)/1440),1,0)</f>
        <v>0</v>
      </c>
      <c r="N20" s="3">
        <f>IF(AND(VLOOKUP(N$1,test!$A$3:$F$32,5,FALSE) - VLOOKUP($B20,test!$A$3:$G$32,6,FALSE) &gt;= (test!$B$33)/1440),1,0)</f>
        <v>0</v>
      </c>
      <c r="O20" s="3">
        <f>IF(AND(VLOOKUP(O$1,test!$A$3:$F$32,5,FALSE) - VLOOKUP($B20,test!$A$3:$G$32,6,FALSE) &gt;= (test!$B$33)/1440),1,0)</f>
        <v>1</v>
      </c>
      <c r="P20" s="3">
        <f>IF(AND(VLOOKUP(P$1,test!$A$3:$F$32,5,FALSE) - VLOOKUP($B20,test!$A$3:$G$32,6,FALSE) &gt;= (test!$B$33)/1440),1,0)</f>
        <v>1</v>
      </c>
      <c r="Q20" s="3">
        <f>IF(AND(VLOOKUP(Q$1,test!$A$3:$F$32,5,FALSE) - VLOOKUP($B20,test!$A$3:$G$32,6,FALSE) &gt;= (test!$B$33)/1440),1,0)</f>
        <v>0</v>
      </c>
      <c r="R20" s="3">
        <f>IF(AND(VLOOKUP(R$1,test!$A$3:$F$32,5,FALSE) - VLOOKUP($B20,test!$A$3:$G$32,6,FALSE) &gt;= (test!$B$33)/1440),1,0)</f>
        <v>0</v>
      </c>
      <c r="S20" s="3">
        <f>IF(AND(VLOOKUP(S$1,test!$A$3:$F$32,5,FALSE) - VLOOKUP($B20,test!$A$3:$G$32,6,FALSE) &gt;= (test!$B$33)/1440),1,0)</f>
        <v>0</v>
      </c>
      <c r="T20" s="3">
        <f>IF(AND(VLOOKUP(T$1,test!$A$3:$F$32,5,FALSE) - VLOOKUP($B20,test!$A$3:$G$32,6,FALSE) &gt;= (test!$B$33)/1440),1,0)</f>
        <v>0</v>
      </c>
      <c r="U20" s="3">
        <f>IF(AND(VLOOKUP(U$1,test!$A$3:$F$32,5,FALSE) - VLOOKUP($B20,test!$A$3:$G$32,6,FALSE) &gt;= (test!$B$33)/1440),1,0)</f>
        <v>0</v>
      </c>
      <c r="V20" s="3">
        <f>IF(AND(VLOOKUP(V$1,test!$A$3:$F$32,5,FALSE) - VLOOKUP($B20,test!$A$3:$G$32,6,FALSE) &gt;= (test!$B$33)/1440),1,0)</f>
        <v>0</v>
      </c>
      <c r="W20" s="3">
        <f>IF(AND(VLOOKUP(W$1,test!$A$3:$F$32,5,FALSE) - VLOOKUP($B20,test!$A$3:$G$32,6,FALSE) &gt;= (test!$B$33)/1440),1,0)</f>
        <v>0</v>
      </c>
      <c r="X20" s="3">
        <f>IF(AND(VLOOKUP(X$1,test!$A$3:$F$32,5,FALSE) - VLOOKUP($B20,test!$A$3:$G$32,6,FALSE) &gt;= (test!$B$33)/1440),1,0)</f>
        <v>1</v>
      </c>
      <c r="Y20" s="3">
        <f>IF(AND(VLOOKUP(Y$1,test!$A$3:$F$32,5,FALSE) - VLOOKUP($B20,test!$A$3:$G$32,6,FALSE) &gt;= (test!$B$33)/1440),1,0)</f>
        <v>1</v>
      </c>
      <c r="Z20" s="3">
        <f>IF(AND(VLOOKUP(Z$1,test!$A$3:$F$32,5,FALSE) - VLOOKUP($B20,test!$A$3:$G$32,6,FALSE) &gt;= (test!$B$33)/1440),1,0)</f>
        <v>0</v>
      </c>
      <c r="AA20" s="3">
        <f>IF(AND(VLOOKUP(AA$1,test!$A$3:$F$32,5,FALSE) - VLOOKUP($B20,test!$A$3:$G$32,6,FALSE) &gt;= (test!$B$33)/1440),1,0)</f>
        <v>0</v>
      </c>
      <c r="AB20" s="3">
        <f>IF(AND(VLOOKUP(AB$1,test!$A$3:$F$32,5,FALSE) - VLOOKUP($B20,test!$A$3:$G$32,6,FALSE) &gt;= (test!$B$33)/1440),1,0)</f>
        <v>0</v>
      </c>
      <c r="AC20" s="3">
        <f>IF(AND(VLOOKUP(AC$1,test!$A$3:$F$32,5,FALSE) - VLOOKUP($B20,test!$A$3:$G$32,6,FALSE) &gt;= (test!$B$33)/1440),1,0)</f>
        <v>0</v>
      </c>
      <c r="AD20" s="3">
        <f>IF(AND(VLOOKUP(AD$1,test!$A$3:$F$32,5,FALSE) - VLOOKUP($B20,test!$A$3:$G$32,6,FALSE) &gt;= (test!$B$33)/1440),1,0)</f>
        <v>1</v>
      </c>
      <c r="AE20" s="3">
        <f>IF(AND(VLOOKUP(AE$1,test!$A$3:$F$32,5,FALSE) - VLOOKUP($B20,test!$A$3:$G$32,6,FALSE) &gt;= (test!$B$33)/1440),1,0)</f>
        <v>0</v>
      </c>
      <c r="AF20" s="3">
        <f>IF(AND(VLOOKUP(AF$1,test!$A$3:$F$32,5,FALSE) - VLOOKUP($B20,test!$A$3:$G$32,6,FALSE) &gt;= (test!$B$33)/1440),1,0)</f>
        <v>0</v>
      </c>
      <c r="AG20" s="3">
        <f>IF(AND(VLOOKUP(AG$1,test!$A$3:$F$32,5,FALSE) - VLOOKUP($B20,test!$A$3:$G$32,6,FALSE) &gt;= (test!$B$33)/1440),1,0)</f>
        <v>0</v>
      </c>
    </row>
    <row r="21" spans="1:33" x14ac:dyDescent="0.25">
      <c r="A21" t="s">
        <v>49</v>
      </c>
      <c r="B21" t="s">
        <v>30</v>
      </c>
      <c r="C21">
        <v>0</v>
      </c>
      <c r="D21" s="3">
        <f>IF(AND(VLOOKUP(D$1,test!$A$3:$F$32,5,FALSE) - VLOOKUP($B21,test!$A$3:$G$32,6,FALSE) &gt;= (test!$B$33)/1440),1,0)</f>
        <v>0</v>
      </c>
      <c r="E21" s="3">
        <f>IF(AND(VLOOKUP(E$1,test!$A$3:$F$32,5,FALSE) - VLOOKUP($B21,test!$A$3:$G$32,6,FALSE) &gt;= (test!$B$33)/1440),1,0)</f>
        <v>0</v>
      </c>
      <c r="F21" s="3">
        <f>IF(AND(VLOOKUP(F$1,test!$A$3:$F$32,5,FALSE) - VLOOKUP($B21,test!$A$3:$G$32,6,FALSE) &gt;= (test!$B$33)/1440),1,0)</f>
        <v>0</v>
      </c>
      <c r="G21" s="3">
        <f>IF(AND(VLOOKUP(G$1,test!$A$3:$F$32,5,FALSE) - VLOOKUP($B21,test!$A$3:$G$32,6,FALSE) &gt;= (test!$B$33)/1440),1,0)</f>
        <v>0</v>
      </c>
      <c r="H21" s="3">
        <f>IF(AND(VLOOKUP(H$1,test!$A$3:$F$32,5,FALSE) - VLOOKUP($B21,test!$A$3:$G$32,6,FALSE) &gt;= (test!$B$33)/1440),1,0)</f>
        <v>0</v>
      </c>
      <c r="I21" s="3">
        <f>IF(AND(VLOOKUP(I$1,test!$A$3:$F$32,5,FALSE) - VLOOKUP($B21,test!$A$3:$G$32,6,FALSE) &gt;= (test!$B$33)/1440),1,0)</f>
        <v>0</v>
      </c>
      <c r="J21" s="3">
        <f>IF(AND(VLOOKUP(J$1,test!$A$3:$F$32,5,FALSE) - VLOOKUP($B21,test!$A$3:$G$32,6,FALSE) &gt;= (test!$B$33)/1440),1,0)</f>
        <v>1</v>
      </c>
      <c r="K21" s="3">
        <f>IF(AND(VLOOKUP(K$1,test!$A$3:$F$32,5,FALSE) - VLOOKUP($B21,test!$A$3:$G$32,6,FALSE) &gt;= (test!$B$33)/1440),1,0)</f>
        <v>1</v>
      </c>
      <c r="L21" s="3">
        <f>IF(AND(VLOOKUP(L$1,test!$A$3:$F$32,5,FALSE) - VLOOKUP($B21,test!$A$3:$G$32,6,FALSE) &gt;= (test!$B$33)/1440),1,0)</f>
        <v>0</v>
      </c>
      <c r="M21" s="3">
        <f>IF(AND(VLOOKUP(M$1,test!$A$3:$F$32,5,FALSE) - VLOOKUP($B21,test!$A$3:$G$32,6,FALSE) &gt;= (test!$B$33)/1440),1,0)</f>
        <v>0</v>
      </c>
      <c r="N21" s="3">
        <f>IF(AND(VLOOKUP(N$1,test!$A$3:$F$32,5,FALSE) - VLOOKUP($B21,test!$A$3:$G$32,6,FALSE) &gt;= (test!$B$33)/1440),1,0)</f>
        <v>0</v>
      </c>
      <c r="O21" s="3">
        <f>IF(AND(VLOOKUP(O$1,test!$A$3:$F$32,5,FALSE) - VLOOKUP($B21,test!$A$3:$G$32,6,FALSE) &gt;= (test!$B$33)/1440),1,0)</f>
        <v>1</v>
      </c>
      <c r="P21" s="3">
        <f>IF(AND(VLOOKUP(P$1,test!$A$3:$F$32,5,FALSE) - VLOOKUP($B21,test!$A$3:$G$32,6,FALSE) &gt;= (test!$B$33)/1440),1,0)</f>
        <v>1</v>
      </c>
      <c r="Q21" s="3">
        <f>IF(AND(VLOOKUP(Q$1,test!$A$3:$F$32,5,FALSE) - VLOOKUP($B21,test!$A$3:$G$32,6,FALSE) &gt;= (test!$B$33)/1440),1,0)</f>
        <v>0</v>
      </c>
      <c r="R21" s="3">
        <f>IF(AND(VLOOKUP(R$1,test!$A$3:$F$32,5,FALSE) - VLOOKUP($B21,test!$A$3:$G$32,6,FALSE) &gt;= (test!$B$33)/1440),1,0)</f>
        <v>0</v>
      </c>
      <c r="S21" s="3">
        <f>IF(AND(VLOOKUP(S$1,test!$A$3:$F$32,5,FALSE) - VLOOKUP($B21,test!$A$3:$G$32,6,FALSE) &gt;= (test!$B$33)/1440),1,0)</f>
        <v>0</v>
      </c>
      <c r="T21" s="3">
        <f>IF(AND(VLOOKUP(T$1,test!$A$3:$F$32,5,FALSE) - VLOOKUP($B21,test!$A$3:$G$32,6,FALSE) &gt;= (test!$B$33)/1440),1,0)</f>
        <v>0</v>
      </c>
      <c r="U21" s="3">
        <f>IF(AND(VLOOKUP(U$1,test!$A$3:$F$32,5,FALSE) - VLOOKUP($B21,test!$A$3:$G$32,6,FALSE) &gt;= (test!$B$33)/1440),1,0)</f>
        <v>0</v>
      </c>
      <c r="V21" s="3">
        <f>IF(AND(VLOOKUP(V$1,test!$A$3:$F$32,5,FALSE) - VLOOKUP($B21,test!$A$3:$G$32,6,FALSE) &gt;= (test!$B$33)/1440),1,0)</f>
        <v>0</v>
      </c>
      <c r="W21" s="3">
        <f>IF(AND(VLOOKUP(W$1,test!$A$3:$F$32,5,FALSE) - VLOOKUP($B21,test!$A$3:$G$32,6,FALSE) &gt;= (test!$B$33)/1440),1,0)</f>
        <v>0</v>
      </c>
      <c r="X21" s="3">
        <f>IF(AND(VLOOKUP(X$1,test!$A$3:$F$32,5,FALSE) - VLOOKUP($B21,test!$A$3:$G$32,6,FALSE) &gt;= (test!$B$33)/1440),1,0)</f>
        <v>0</v>
      </c>
      <c r="Y21" s="3">
        <f>IF(AND(VLOOKUP(Y$1,test!$A$3:$F$32,5,FALSE) - VLOOKUP($B21,test!$A$3:$G$32,6,FALSE) &gt;= (test!$B$33)/1440),1,0)</f>
        <v>1</v>
      </c>
      <c r="Z21" s="3">
        <f>IF(AND(VLOOKUP(Z$1,test!$A$3:$F$32,5,FALSE) - VLOOKUP($B21,test!$A$3:$G$32,6,FALSE) &gt;= (test!$B$33)/1440),1,0)</f>
        <v>0</v>
      </c>
      <c r="AA21" s="3">
        <f>IF(AND(VLOOKUP(AA$1,test!$A$3:$F$32,5,FALSE) - VLOOKUP($B21,test!$A$3:$G$32,6,FALSE) &gt;= (test!$B$33)/1440),1,0)</f>
        <v>0</v>
      </c>
      <c r="AB21" s="3">
        <f>IF(AND(VLOOKUP(AB$1,test!$A$3:$F$32,5,FALSE) - VLOOKUP($B21,test!$A$3:$G$32,6,FALSE) &gt;= (test!$B$33)/1440),1,0)</f>
        <v>0</v>
      </c>
      <c r="AC21" s="3">
        <f>IF(AND(VLOOKUP(AC$1,test!$A$3:$F$32,5,FALSE) - VLOOKUP($B21,test!$A$3:$G$32,6,FALSE) &gt;= (test!$B$33)/1440),1,0)</f>
        <v>0</v>
      </c>
      <c r="AD21" s="3">
        <f>IF(AND(VLOOKUP(AD$1,test!$A$3:$F$32,5,FALSE) - VLOOKUP($B21,test!$A$3:$G$32,6,FALSE) &gt;= (test!$B$33)/1440),1,0)</f>
        <v>0</v>
      </c>
      <c r="AE21" s="3">
        <f>IF(AND(VLOOKUP(AE$1,test!$A$3:$F$32,5,FALSE) - VLOOKUP($B21,test!$A$3:$G$32,6,FALSE) &gt;= (test!$B$33)/1440),1,0)</f>
        <v>0</v>
      </c>
      <c r="AF21" s="3">
        <f>IF(AND(VLOOKUP(AF$1,test!$A$3:$F$32,5,FALSE) - VLOOKUP($B21,test!$A$3:$G$32,6,FALSE) &gt;= (test!$B$33)/1440),1,0)</f>
        <v>0</v>
      </c>
      <c r="AG21" s="3">
        <f>IF(AND(VLOOKUP(AG$1,test!$A$3:$F$32,5,FALSE) - VLOOKUP($B21,test!$A$3:$G$32,6,FALSE) &gt;= (test!$B$33)/1440),1,0)</f>
        <v>0</v>
      </c>
    </row>
    <row r="22" spans="1:33" x14ac:dyDescent="0.25">
      <c r="A22" t="s">
        <v>49</v>
      </c>
      <c r="B22" t="s">
        <v>31</v>
      </c>
      <c r="C22">
        <v>0</v>
      </c>
      <c r="D22" s="3">
        <f>IF(AND(VLOOKUP(D$1,test!$A$3:$F$32,5,FALSE) - VLOOKUP($B22,test!$A$3:$G$32,6,FALSE) &gt;= (test!$B$33)/1440),1,0)</f>
        <v>0</v>
      </c>
      <c r="E22" s="3">
        <f>IF(AND(VLOOKUP(E$1,test!$A$3:$F$32,5,FALSE) - VLOOKUP($B22,test!$A$3:$G$32,6,FALSE) &gt;= (test!$B$33)/1440),1,0)</f>
        <v>0</v>
      </c>
      <c r="F22" s="3">
        <f>IF(AND(VLOOKUP(F$1,test!$A$3:$F$32,5,FALSE) - VLOOKUP($B22,test!$A$3:$G$32,6,FALSE) &gt;= (test!$B$33)/1440),1,0)</f>
        <v>0</v>
      </c>
      <c r="G22" s="3">
        <f>IF(AND(VLOOKUP(G$1,test!$A$3:$F$32,5,FALSE) - VLOOKUP($B22,test!$A$3:$G$32,6,FALSE) &gt;= (test!$B$33)/1440),1,0)</f>
        <v>0</v>
      </c>
      <c r="H22" s="3">
        <f>IF(AND(VLOOKUP(H$1,test!$A$3:$F$32,5,FALSE) - VLOOKUP($B22,test!$A$3:$G$32,6,FALSE) &gt;= (test!$B$33)/1440),1,0)</f>
        <v>0</v>
      </c>
      <c r="I22" s="3">
        <f>IF(AND(VLOOKUP(I$1,test!$A$3:$F$32,5,FALSE) - VLOOKUP($B22,test!$A$3:$G$32,6,FALSE) &gt;= (test!$B$33)/1440),1,0)</f>
        <v>0</v>
      </c>
      <c r="J22" s="3">
        <f>IF(AND(VLOOKUP(J$1,test!$A$3:$F$32,5,FALSE) - VLOOKUP($B22,test!$A$3:$G$32,6,FALSE) &gt;= (test!$B$33)/1440),1,0)</f>
        <v>0</v>
      </c>
      <c r="K22" s="3">
        <f>IF(AND(VLOOKUP(K$1,test!$A$3:$F$32,5,FALSE) - VLOOKUP($B22,test!$A$3:$G$32,6,FALSE) &gt;= (test!$B$33)/1440),1,0)</f>
        <v>1</v>
      </c>
      <c r="L22" s="3">
        <f>IF(AND(VLOOKUP(L$1,test!$A$3:$F$32,5,FALSE) - VLOOKUP($B22,test!$A$3:$G$32,6,FALSE) &gt;= (test!$B$33)/1440),1,0)</f>
        <v>0</v>
      </c>
      <c r="M22" s="3">
        <f>IF(AND(VLOOKUP(M$1,test!$A$3:$F$32,5,FALSE) - VLOOKUP($B22,test!$A$3:$G$32,6,FALSE) &gt;= (test!$B$33)/1440),1,0)</f>
        <v>0</v>
      </c>
      <c r="N22" s="3">
        <f>IF(AND(VLOOKUP(N$1,test!$A$3:$F$32,5,FALSE) - VLOOKUP($B22,test!$A$3:$G$32,6,FALSE) &gt;= (test!$B$33)/1440),1,0)</f>
        <v>0</v>
      </c>
      <c r="O22" s="3">
        <f>IF(AND(VLOOKUP(O$1,test!$A$3:$F$32,5,FALSE) - VLOOKUP($B22,test!$A$3:$G$32,6,FALSE) &gt;= (test!$B$33)/1440),1,0)</f>
        <v>0</v>
      </c>
      <c r="P22" s="3">
        <f>IF(AND(VLOOKUP(P$1,test!$A$3:$F$32,5,FALSE) - VLOOKUP($B22,test!$A$3:$G$32,6,FALSE) &gt;= (test!$B$33)/1440),1,0)</f>
        <v>1</v>
      </c>
      <c r="Q22" s="3">
        <f>IF(AND(VLOOKUP(Q$1,test!$A$3:$F$32,5,FALSE) - VLOOKUP($B22,test!$A$3:$G$32,6,FALSE) &gt;= (test!$B$33)/1440),1,0)</f>
        <v>0</v>
      </c>
      <c r="R22" s="3">
        <f>IF(AND(VLOOKUP(R$1,test!$A$3:$F$32,5,FALSE) - VLOOKUP($B22,test!$A$3:$G$32,6,FALSE) &gt;= (test!$B$33)/1440),1,0)</f>
        <v>0</v>
      </c>
      <c r="S22" s="3">
        <f>IF(AND(VLOOKUP(S$1,test!$A$3:$F$32,5,FALSE) - VLOOKUP($B22,test!$A$3:$G$32,6,FALSE) &gt;= (test!$B$33)/1440),1,0)</f>
        <v>0</v>
      </c>
      <c r="T22" s="3">
        <f>IF(AND(VLOOKUP(T$1,test!$A$3:$F$32,5,FALSE) - VLOOKUP($B22,test!$A$3:$G$32,6,FALSE) &gt;= (test!$B$33)/1440),1,0)</f>
        <v>0</v>
      </c>
      <c r="U22" s="3">
        <f>IF(AND(VLOOKUP(U$1,test!$A$3:$F$32,5,FALSE) - VLOOKUP($B22,test!$A$3:$G$32,6,FALSE) &gt;= (test!$B$33)/1440),1,0)</f>
        <v>0</v>
      </c>
      <c r="V22" s="3">
        <f>IF(AND(VLOOKUP(V$1,test!$A$3:$F$32,5,FALSE) - VLOOKUP($B22,test!$A$3:$G$32,6,FALSE) &gt;= (test!$B$33)/1440),1,0)</f>
        <v>0</v>
      </c>
      <c r="W22" s="3">
        <f>IF(AND(VLOOKUP(W$1,test!$A$3:$F$32,5,FALSE) - VLOOKUP($B22,test!$A$3:$G$32,6,FALSE) &gt;= (test!$B$33)/1440),1,0)</f>
        <v>0</v>
      </c>
      <c r="X22" s="3">
        <f>IF(AND(VLOOKUP(X$1,test!$A$3:$F$32,5,FALSE) - VLOOKUP($B22,test!$A$3:$G$32,6,FALSE) &gt;= (test!$B$33)/1440),1,0)</f>
        <v>0</v>
      </c>
      <c r="Y22" s="3">
        <f>IF(AND(VLOOKUP(Y$1,test!$A$3:$F$32,5,FALSE) - VLOOKUP($B22,test!$A$3:$G$32,6,FALSE) &gt;= (test!$B$33)/1440),1,0)</f>
        <v>0</v>
      </c>
      <c r="Z22" s="3">
        <f>IF(AND(VLOOKUP(Z$1,test!$A$3:$F$32,5,FALSE) - VLOOKUP($B22,test!$A$3:$G$32,6,FALSE) &gt;= (test!$B$33)/1440),1,0)</f>
        <v>0</v>
      </c>
      <c r="AA22" s="3">
        <f>IF(AND(VLOOKUP(AA$1,test!$A$3:$F$32,5,FALSE) - VLOOKUP($B22,test!$A$3:$G$32,6,FALSE) &gt;= (test!$B$33)/1440),1,0)</f>
        <v>0</v>
      </c>
      <c r="AB22" s="3">
        <f>IF(AND(VLOOKUP(AB$1,test!$A$3:$F$32,5,FALSE) - VLOOKUP($B22,test!$A$3:$G$32,6,FALSE) &gt;= (test!$B$33)/1440),1,0)</f>
        <v>0</v>
      </c>
      <c r="AC22" s="3">
        <f>IF(AND(VLOOKUP(AC$1,test!$A$3:$F$32,5,FALSE) - VLOOKUP($B22,test!$A$3:$G$32,6,FALSE) &gt;= (test!$B$33)/1440),1,0)</f>
        <v>0</v>
      </c>
      <c r="AD22" s="3">
        <f>IF(AND(VLOOKUP(AD$1,test!$A$3:$F$32,5,FALSE) - VLOOKUP($B22,test!$A$3:$G$32,6,FALSE) &gt;= (test!$B$33)/1440),1,0)</f>
        <v>0</v>
      </c>
      <c r="AE22" s="3">
        <f>IF(AND(VLOOKUP(AE$1,test!$A$3:$F$32,5,FALSE) - VLOOKUP($B22,test!$A$3:$G$32,6,FALSE) &gt;= (test!$B$33)/1440),1,0)</f>
        <v>0</v>
      </c>
      <c r="AF22" s="3">
        <f>IF(AND(VLOOKUP(AF$1,test!$A$3:$F$32,5,FALSE) - VLOOKUP($B22,test!$A$3:$G$32,6,FALSE) &gt;= (test!$B$33)/1440),1,0)</f>
        <v>0</v>
      </c>
      <c r="AG22" s="3">
        <f>IF(AND(VLOOKUP(AG$1,test!$A$3:$F$32,5,FALSE) - VLOOKUP($B22,test!$A$3:$G$32,6,FALSE) &gt;= (test!$B$33)/1440),1,0)</f>
        <v>0</v>
      </c>
    </row>
    <row r="23" spans="1:33" x14ac:dyDescent="0.25">
      <c r="A23" t="s">
        <v>49</v>
      </c>
      <c r="B23" t="s">
        <v>32</v>
      </c>
      <c r="C23">
        <v>0</v>
      </c>
      <c r="D23" s="3">
        <f>IF(AND(VLOOKUP(D$1,test!$A$3:$F$32,5,FALSE) - VLOOKUP($B23,test!$A$3:$G$32,6,FALSE) &gt;= (test!$B$33)/1440),1,0)</f>
        <v>0</v>
      </c>
      <c r="E23" s="3">
        <f>IF(AND(VLOOKUP(E$1,test!$A$3:$F$32,5,FALSE) - VLOOKUP($B23,test!$A$3:$G$32,6,FALSE) &gt;= (test!$B$33)/1440),1,0)</f>
        <v>0</v>
      </c>
      <c r="F23" s="3">
        <f>IF(AND(VLOOKUP(F$1,test!$A$3:$F$32,5,FALSE) - VLOOKUP($B23,test!$A$3:$G$32,6,FALSE) &gt;= (test!$B$33)/1440),1,0)</f>
        <v>0</v>
      </c>
      <c r="G23" s="3">
        <f>IF(AND(VLOOKUP(G$1,test!$A$3:$F$32,5,FALSE) - VLOOKUP($B23,test!$A$3:$G$32,6,FALSE) &gt;= (test!$B$33)/1440),1,0)</f>
        <v>0</v>
      </c>
      <c r="H23" s="3">
        <f>IF(AND(VLOOKUP(H$1,test!$A$3:$F$32,5,FALSE) - VLOOKUP($B23,test!$A$3:$G$32,6,FALSE) &gt;= (test!$B$33)/1440),1,0)</f>
        <v>0</v>
      </c>
      <c r="I23" s="3">
        <f>IF(AND(VLOOKUP(I$1,test!$A$3:$F$32,5,FALSE) - VLOOKUP($B23,test!$A$3:$G$32,6,FALSE) &gt;= (test!$B$33)/1440),1,0)</f>
        <v>0</v>
      </c>
      <c r="J23" s="3">
        <f>IF(AND(VLOOKUP(J$1,test!$A$3:$F$32,5,FALSE) - VLOOKUP($B23,test!$A$3:$G$32,6,FALSE) &gt;= (test!$B$33)/1440),1,0)</f>
        <v>0</v>
      </c>
      <c r="K23" s="3">
        <f>IF(AND(VLOOKUP(K$1,test!$A$3:$F$32,5,FALSE) - VLOOKUP($B23,test!$A$3:$G$32,6,FALSE) &gt;= (test!$B$33)/1440),1,0)</f>
        <v>0</v>
      </c>
      <c r="L23" s="3">
        <f>IF(AND(VLOOKUP(L$1,test!$A$3:$F$32,5,FALSE) - VLOOKUP($B23,test!$A$3:$G$32,6,FALSE) &gt;= (test!$B$33)/1440),1,0)</f>
        <v>0</v>
      </c>
      <c r="M23" s="3">
        <f>IF(AND(VLOOKUP(M$1,test!$A$3:$F$32,5,FALSE) - VLOOKUP($B23,test!$A$3:$G$32,6,FALSE) &gt;= (test!$B$33)/1440),1,0)</f>
        <v>0</v>
      </c>
      <c r="N23" s="3">
        <f>IF(AND(VLOOKUP(N$1,test!$A$3:$F$32,5,FALSE) - VLOOKUP($B23,test!$A$3:$G$32,6,FALSE) &gt;= (test!$B$33)/1440),1,0)</f>
        <v>0</v>
      </c>
      <c r="O23" s="3">
        <f>IF(AND(VLOOKUP(O$1,test!$A$3:$F$32,5,FALSE) - VLOOKUP($B23,test!$A$3:$G$32,6,FALSE) &gt;= (test!$B$33)/1440),1,0)</f>
        <v>0</v>
      </c>
      <c r="P23" s="3">
        <f>IF(AND(VLOOKUP(P$1,test!$A$3:$F$32,5,FALSE) - VLOOKUP($B23,test!$A$3:$G$32,6,FALSE) &gt;= (test!$B$33)/1440),1,0)</f>
        <v>0</v>
      </c>
      <c r="Q23" s="3">
        <f>IF(AND(VLOOKUP(Q$1,test!$A$3:$F$32,5,FALSE) - VLOOKUP($B23,test!$A$3:$G$32,6,FALSE) &gt;= (test!$B$33)/1440),1,0)</f>
        <v>0</v>
      </c>
      <c r="R23" s="3">
        <f>IF(AND(VLOOKUP(R$1,test!$A$3:$F$32,5,FALSE) - VLOOKUP($B23,test!$A$3:$G$32,6,FALSE) &gt;= (test!$B$33)/1440),1,0)</f>
        <v>0</v>
      </c>
      <c r="S23" s="3">
        <f>IF(AND(VLOOKUP(S$1,test!$A$3:$F$32,5,FALSE) - VLOOKUP($B23,test!$A$3:$G$32,6,FALSE) &gt;= (test!$B$33)/1440),1,0)</f>
        <v>0</v>
      </c>
      <c r="T23" s="3">
        <f>IF(AND(VLOOKUP(T$1,test!$A$3:$F$32,5,FALSE) - VLOOKUP($B23,test!$A$3:$G$32,6,FALSE) &gt;= (test!$B$33)/1440),1,0)</f>
        <v>0</v>
      </c>
      <c r="U23" s="3">
        <f>IF(AND(VLOOKUP(U$1,test!$A$3:$F$32,5,FALSE) - VLOOKUP($B23,test!$A$3:$G$32,6,FALSE) &gt;= (test!$B$33)/1440),1,0)</f>
        <v>0</v>
      </c>
      <c r="V23" s="3">
        <f>IF(AND(VLOOKUP(V$1,test!$A$3:$F$32,5,FALSE) - VLOOKUP($B23,test!$A$3:$G$32,6,FALSE) &gt;= (test!$B$33)/1440),1,0)</f>
        <v>0</v>
      </c>
      <c r="W23" s="3">
        <f>IF(AND(VLOOKUP(W$1,test!$A$3:$F$32,5,FALSE) - VLOOKUP($B23,test!$A$3:$G$32,6,FALSE) &gt;= (test!$B$33)/1440),1,0)</f>
        <v>0</v>
      </c>
      <c r="X23" s="3">
        <f>IF(AND(VLOOKUP(X$1,test!$A$3:$F$32,5,FALSE) - VLOOKUP($B23,test!$A$3:$G$32,6,FALSE) &gt;= (test!$B$33)/1440),1,0)</f>
        <v>0</v>
      </c>
      <c r="Y23" s="3">
        <f>IF(AND(VLOOKUP(Y$1,test!$A$3:$F$32,5,FALSE) - VLOOKUP($B23,test!$A$3:$G$32,6,FALSE) &gt;= (test!$B$33)/1440),1,0)</f>
        <v>0</v>
      </c>
      <c r="Z23" s="3">
        <f>IF(AND(VLOOKUP(Z$1,test!$A$3:$F$32,5,FALSE) - VLOOKUP($B23,test!$A$3:$G$32,6,FALSE) &gt;= (test!$B$33)/1440),1,0)</f>
        <v>0</v>
      </c>
      <c r="AA23" s="3">
        <f>IF(AND(VLOOKUP(AA$1,test!$A$3:$F$32,5,FALSE) - VLOOKUP($B23,test!$A$3:$G$32,6,FALSE) &gt;= (test!$B$33)/1440),1,0)</f>
        <v>0</v>
      </c>
      <c r="AB23" s="3">
        <f>IF(AND(VLOOKUP(AB$1,test!$A$3:$F$32,5,FALSE) - VLOOKUP($B23,test!$A$3:$G$32,6,FALSE) &gt;= (test!$B$33)/1440),1,0)</f>
        <v>0</v>
      </c>
      <c r="AC23" s="3">
        <f>IF(AND(VLOOKUP(AC$1,test!$A$3:$F$32,5,FALSE) - VLOOKUP($B23,test!$A$3:$G$32,6,FALSE) &gt;= (test!$B$33)/1440),1,0)</f>
        <v>0</v>
      </c>
      <c r="AD23" s="3">
        <f>IF(AND(VLOOKUP(AD$1,test!$A$3:$F$32,5,FALSE) - VLOOKUP($B23,test!$A$3:$G$32,6,FALSE) &gt;= (test!$B$33)/1440),1,0)</f>
        <v>0</v>
      </c>
      <c r="AE23" s="3">
        <f>IF(AND(VLOOKUP(AE$1,test!$A$3:$F$32,5,FALSE) - VLOOKUP($B23,test!$A$3:$G$32,6,FALSE) &gt;= (test!$B$33)/1440),1,0)</f>
        <v>0</v>
      </c>
      <c r="AF23" s="3">
        <f>IF(AND(VLOOKUP(AF$1,test!$A$3:$F$32,5,FALSE) - VLOOKUP($B23,test!$A$3:$G$32,6,FALSE) &gt;= (test!$B$33)/1440),1,0)</f>
        <v>0</v>
      </c>
      <c r="AG23" s="3">
        <f>IF(AND(VLOOKUP(AG$1,test!$A$3:$F$32,5,FALSE) - VLOOKUP($B23,test!$A$3:$G$32,6,FALSE) &gt;= (test!$B$33)/1440),1,0)</f>
        <v>0</v>
      </c>
    </row>
    <row r="24" spans="1:33" x14ac:dyDescent="0.25">
      <c r="A24" t="s">
        <v>49</v>
      </c>
      <c r="B24" t="s">
        <v>33</v>
      </c>
      <c r="C24">
        <v>0</v>
      </c>
      <c r="D24" s="3">
        <f>IF(AND(VLOOKUP(D$1,test!$A$3:$F$32,5,FALSE) - VLOOKUP($B24,test!$A$3:$G$32,6,FALSE) &gt;= (test!$B$33)/1440),1,0)</f>
        <v>0</v>
      </c>
      <c r="E24" s="3">
        <f>IF(AND(VLOOKUP(E$1,test!$A$3:$F$32,5,FALSE) - VLOOKUP($B24,test!$A$3:$G$32,6,FALSE) &gt;= (test!$B$33)/1440),1,0)</f>
        <v>0</v>
      </c>
      <c r="F24" s="3">
        <f>IF(AND(VLOOKUP(F$1,test!$A$3:$F$32,5,FALSE) - VLOOKUP($B24,test!$A$3:$G$32,6,FALSE) &gt;= (test!$B$33)/1440),1,0)</f>
        <v>0</v>
      </c>
      <c r="G24" s="3">
        <f>IF(AND(VLOOKUP(G$1,test!$A$3:$F$32,5,FALSE) - VLOOKUP($B24,test!$A$3:$G$32,6,FALSE) &gt;= (test!$B$33)/1440),1,0)</f>
        <v>0</v>
      </c>
      <c r="H24" s="3">
        <f>IF(AND(VLOOKUP(H$1,test!$A$3:$F$32,5,FALSE) - VLOOKUP($B24,test!$A$3:$G$32,6,FALSE) &gt;= (test!$B$33)/1440),1,0)</f>
        <v>0</v>
      </c>
      <c r="I24" s="3">
        <f>IF(AND(VLOOKUP(I$1,test!$A$3:$F$32,5,FALSE) - VLOOKUP($B24,test!$A$3:$G$32,6,FALSE) &gt;= (test!$B$33)/1440),1,0)</f>
        <v>0</v>
      </c>
      <c r="J24" s="3">
        <f>IF(AND(VLOOKUP(J$1,test!$A$3:$F$32,5,FALSE) - VLOOKUP($B24,test!$A$3:$G$32,6,FALSE) &gt;= (test!$B$33)/1440),1,0)</f>
        <v>0</v>
      </c>
      <c r="K24" s="3">
        <f>IF(AND(VLOOKUP(K$1,test!$A$3:$F$32,5,FALSE) - VLOOKUP($B24,test!$A$3:$G$32,6,FALSE) &gt;= (test!$B$33)/1440),1,0)</f>
        <v>0</v>
      </c>
      <c r="L24" s="3">
        <f>IF(AND(VLOOKUP(L$1,test!$A$3:$F$32,5,FALSE) - VLOOKUP($B24,test!$A$3:$G$32,6,FALSE) &gt;= (test!$B$33)/1440),1,0)</f>
        <v>0</v>
      </c>
      <c r="M24" s="3">
        <f>IF(AND(VLOOKUP(M$1,test!$A$3:$F$32,5,FALSE) - VLOOKUP($B24,test!$A$3:$G$32,6,FALSE) &gt;= (test!$B$33)/1440),1,0)</f>
        <v>0</v>
      </c>
      <c r="N24" s="3">
        <f>IF(AND(VLOOKUP(N$1,test!$A$3:$F$32,5,FALSE) - VLOOKUP($B24,test!$A$3:$G$32,6,FALSE) &gt;= (test!$B$33)/1440),1,0)</f>
        <v>0</v>
      </c>
      <c r="O24" s="3">
        <f>IF(AND(VLOOKUP(O$1,test!$A$3:$F$32,5,FALSE) - VLOOKUP($B24,test!$A$3:$G$32,6,FALSE) &gt;= (test!$B$33)/1440),1,0)</f>
        <v>0</v>
      </c>
      <c r="P24" s="3">
        <f>IF(AND(VLOOKUP(P$1,test!$A$3:$F$32,5,FALSE) - VLOOKUP($B24,test!$A$3:$G$32,6,FALSE) &gt;= (test!$B$33)/1440),1,0)</f>
        <v>0</v>
      </c>
      <c r="Q24" s="3">
        <f>IF(AND(VLOOKUP(Q$1,test!$A$3:$F$32,5,FALSE) - VLOOKUP($B24,test!$A$3:$G$32,6,FALSE) &gt;= (test!$B$33)/1440),1,0)</f>
        <v>0</v>
      </c>
      <c r="R24" s="3">
        <f>IF(AND(VLOOKUP(R$1,test!$A$3:$F$32,5,FALSE) - VLOOKUP($B24,test!$A$3:$G$32,6,FALSE) &gt;= (test!$B$33)/1440),1,0)</f>
        <v>0</v>
      </c>
      <c r="S24" s="3">
        <f>IF(AND(VLOOKUP(S$1,test!$A$3:$F$32,5,FALSE) - VLOOKUP($B24,test!$A$3:$G$32,6,FALSE) &gt;= (test!$B$33)/1440),1,0)</f>
        <v>0</v>
      </c>
      <c r="T24" s="3">
        <f>IF(AND(VLOOKUP(T$1,test!$A$3:$F$32,5,FALSE) - VLOOKUP($B24,test!$A$3:$G$32,6,FALSE) &gt;= (test!$B$33)/1440),1,0)</f>
        <v>0</v>
      </c>
      <c r="U24" s="3">
        <f>IF(AND(VLOOKUP(U$1,test!$A$3:$F$32,5,FALSE) - VLOOKUP($B24,test!$A$3:$G$32,6,FALSE) &gt;= (test!$B$33)/1440),1,0)</f>
        <v>0</v>
      </c>
      <c r="V24" s="3">
        <f>IF(AND(VLOOKUP(V$1,test!$A$3:$F$32,5,FALSE) - VLOOKUP($B24,test!$A$3:$G$32,6,FALSE) &gt;= (test!$B$33)/1440),1,0)</f>
        <v>0</v>
      </c>
      <c r="W24" s="3">
        <f>IF(AND(VLOOKUP(W$1,test!$A$3:$F$32,5,FALSE) - VLOOKUP($B24,test!$A$3:$G$32,6,FALSE) &gt;= (test!$B$33)/1440),1,0)</f>
        <v>0</v>
      </c>
      <c r="X24" s="3">
        <f>IF(AND(VLOOKUP(X$1,test!$A$3:$F$32,5,FALSE) - VLOOKUP($B24,test!$A$3:$G$32,6,FALSE) &gt;= (test!$B$33)/1440),1,0)</f>
        <v>0</v>
      </c>
      <c r="Y24" s="3">
        <f>IF(AND(VLOOKUP(Y$1,test!$A$3:$F$32,5,FALSE) - VLOOKUP($B24,test!$A$3:$G$32,6,FALSE) &gt;= (test!$B$33)/1440),1,0)</f>
        <v>0</v>
      </c>
      <c r="Z24" s="3">
        <f>IF(AND(VLOOKUP(Z$1,test!$A$3:$F$32,5,FALSE) - VLOOKUP($B24,test!$A$3:$G$32,6,FALSE) &gt;= (test!$B$33)/1440),1,0)</f>
        <v>0</v>
      </c>
      <c r="AA24" s="3">
        <f>IF(AND(VLOOKUP(AA$1,test!$A$3:$F$32,5,FALSE) - VLOOKUP($B24,test!$A$3:$G$32,6,FALSE) &gt;= (test!$B$33)/1440),1,0)</f>
        <v>0</v>
      </c>
      <c r="AB24" s="3">
        <f>IF(AND(VLOOKUP(AB$1,test!$A$3:$F$32,5,FALSE) - VLOOKUP($B24,test!$A$3:$G$32,6,FALSE) &gt;= (test!$B$33)/1440),1,0)</f>
        <v>0</v>
      </c>
      <c r="AC24" s="3">
        <f>IF(AND(VLOOKUP(AC$1,test!$A$3:$F$32,5,FALSE) - VLOOKUP($B24,test!$A$3:$G$32,6,FALSE) &gt;= (test!$B$33)/1440),1,0)</f>
        <v>0</v>
      </c>
      <c r="AD24" s="3">
        <f>IF(AND(VLOOKUP(AD$1,test!$A$3:$F$32,5,FALSE) - VLOOKUP($B24,test!$A$3:$G$32,6,FALSE) &gt;= (test!$B$33)/1440),1,0)</f>
        <v>0</v>
      </c>
      <c r="AE24" s="3">
        <f>IF(AND(VLOOKUP(AE$1,test!$A$3:$F$32,5,FALSE) - VLOOKUP($B24,test!$A$3:$G$32,6,FALSE) &gt;= (test!$B$33)/1440),1,0)</f>
        <v>0</v>
      </c>
      <c r="AF24" s="3">
        <f>IF(AND(VLOOKUP(AF$1,test!$A$3:$F$32,5,FALSE) - VLOOKUP($B24,test!$A$3:$G$32,6,FALSE) &gt;= (test!$B$33)/1440),1,0)</f>
        <v>0</v>
      </c>
      <c r="AG24" s="3">
        <f>IF(AND(VLOOKUP(AG$1,test!$A$3:$F$32,5,FALSE) - VLOOKUP($B24,test!$A$3:$G$32,6,FALSE) &gt;= (test!$B$33)/1440),1,0)</f>
        <v>0</v>
      </c>
    </row>
    <row r="25" spans="1:33" x14ac:dyDescent="0.25">
      <c r="A25" t="s">
        <v>49</v>
      </c>
      <c r="B25" t="s">
        <v>34</v>
      </c>
      <c r="C25">
        <v>0</v>
      </c>
      <c r="D25" s="3">
        <f>IF(AND(VLOOKUP(D$1,test!$A$3:$F$32,5,FALSE) - VLOOKUP($B25,test!$A$3:$G$32,6,FALSE) &gt;= (test!$B$33)/1440),1,0)</f>
        <v>0</v>
      </c>
      <c r="E25" s="3">
        <f>IF(AND(VLOOKUP(E$1,test!$A$3:$F$32,5,FALSE) - VLOOKUP($B25,test!$A$3:$G$32,6,FALSE) &gt;= (test!$B$33)/1440),1,0)</f>
        <v>0</v>
      </c>
      <c r="F25" s="3">
        <f>IF(AND(VLOOKUP(F$1,test!$A$3:$F$32,5,FALSE) - VLOOKUP($B25,test!$A$3:$G$32,6,FALSE) &gt;= (test!$B$33)/1440),1,0)</f>
        <v>1</v>
      </c>
      <c r="G25" s="3">
        <f>IF(AND(VLOOKUP(G$1,test!$A$3:$F$32,5,FALSE) - VLOOKUP($B25,test!$A$3:$G$32,6,FALSE) &gt;= (test!$B$33)/1440),1,0)</f>
        <v>1</v>
      </c>
      <c r="H25" s="3">
        <f>IF(AND(VLOOKUP(H$1,test!$A$3:$F$32,5,FALSE) - VLOOKUP($B25,test!$A$3:$G$32,6,FALSE) &gt;= (test!$B$33)/1440),1,0)</f>
        <v>1</v>
      </c>
      <c r="I25" s="3">
        <f>IF(AND(VLOOKUP(I$1,test!$A$3:$F$32,5,FALSE) - VLOOKUP($B25,test!$A$3:$G$32,6,FALSE) &gt;= (test!$B$33)/1440),1,0)</f>
        <v>1</v>
      </c>
      <c r="J25" s="3">
        <f>IF(AND(VLOOKUP(J$1,test!$A$3:$F$32,5,FALSE) - VLOOKUP($B25,test!$A$3:$G$32,6,FALSE) &gt;= (test!$B$33)/1440),1,0)</f>
        <v>1</v>
      </c>
      <c r="K25" s="3">
        <f>IF(AND(VLOOKUP(K$1,test!$A$3:$F$32,5,FALSE) - VLOOKUP($B25,test!$A$3:$G$32,6,FALSE) &gt;= (test!$B$33)/1440),1,0)</f>
        <v>1</v>
      </c>
      <c r="L25" s="3">
        <f>IF(AND(VLOOKUP(L$1,test!$A$3:$F$32,5,FALSE) - VLOOKUP($B25,test!$A$3:$G$32,6,FALSE) &gt;= (test!$B$33)/1440),1,0)</f>
        <v>0</v>
      </c>
      <c r="M25" s="3">
        <f>IF(AND(VLOOKUP(M$1,test!$A$3:$F$32,5,FALSE) - VLOOKUP($B25,test!$A$3:$G$32,6,FALSE) &gt;= (test!$B$33)/1440),1,0)</f>
        <v>0</v>
      </c>
      <c r="N25" s="3">
        <f>IF(AND(VLOOKUP(N$1,test!$A$3:$F$32,5,FALSE) - VLOOKUP($B25,test!$A$3:$G$32,6,FALSE) &gt;= (test!$B$33)/1440),1,0)</f>
        <v>1</v>
      </c>
      <c r="O25" s="3">
        <f>IF(AND(VLOOKUP(O$1,test!$A$3:$F$32,5,FALSE) - VLOOKUP($B25,test!$A$3:$G$32,6,FALSE) &gt;= (test!$B$33)/1440),1,0)</f>
        <v>1</v>
      </c>
      <c r="P25" s="3">
        <f>IF(AND(VLOOKUP(P$1,test!$A$3:$F$32,5,FALSE) - VLOOKUP($B25,test!$A$3:$G$32,6,FALSE) &gt;= (test!$B$33)/1440),1,0)</f>
        <v>1</v>
      </c>
      <c r="Q25" s="3">
        <f>IF(AND(VLOOKUP(Q$1,test!$A$3:$F$32,5,FALSE) - VLOOKUP($B25,test!$A$3:$G$32,6,FALSE) &gt;= (test!$B$33)/1440),1,0)</f>
        <v>0</v>
      </c>
      <c r="R25" s="3">
        <f>IF(AND(VLOOKUP(R$1,test!$A$3:$F$32,5,FALSE) - VLOOKUP($B25,test!$A$3:$G$32,6,FALSE) &gt;= (test!$B$33)/1440),1,0)</f>
        <v>0</v>
      </c>
      <c r="S25" s="3">
        <f>IF(AND(VLOOKUP(S$1,test!$A$3:$F$32,5,FALSE) - VLOOKUP($B25,test!$A$3:$G$32,6,FALSE) &gt;= (test!$B$33)/1440),1,0)</f>
        <v>0</v>
      </c>
      <c r="T25" s="3">
        <f>IF(AND(VLOOKUP(T$1,test!$A$3:$F$32,5,FALSE) - VLOOKUP($B25,test!$A$3:$G$32,6,FALSE) &gt;= (test!$B$33)/1440),1,0)</f>
        <v>0</v>
      </c>
      <c r="U25" s="3">
        <f>IF(AND(VLOOKUP(U$1,test!$A$3:$F$32,5,FALSE) - VLOOKUP($B25,test!$A$3:$G$32,6,FALSE) &gt;= (test!$B$33)/1440),1,0)</f>
        <v>1</v>
      </c>
      <c r="V25" s="3">
        <f>IF(AND(VLOOKUP(V$1,test!$A$3:$F$32,5,FALSE) - VLOOKUP($B25,test!$A$3:$G$32,6,FALSE) &gt;= (test!$B$33)/1440),1,0)</f>
        <v>1</v>
      </c>
      <c r="W25" s="3">
        <f>IF(AND(VLOOKUP(W$1,test!$A$3:$F$32,5,FALSE) - VLOOKUP($B25,test!$A$3:$G$32,6,FALSE) &gt;= (test!$B$33)/1440),1,0)</f>
        <v>1</v>
      </c>
      <c r="X25" s="3">
        <f>IF(AND(VLOOKUP(X$1,test!$A$3:$F$32,5,FALSE) - VLOOKUP($B25,test!$A$3:$G$32,6,FALSE) &gt;= (test!$B$33)/1440),1,0)</f>
        <v>1</v>
      </c>
      <c r="Y25" s="3">
        <f>IF(AND(VLOOKUP(Y$1,test!$A$3:$F$32,5,FALSE) - VLOOKUP($B25,test!$A$3:$G$32,6,FALSE) &gt;= (test!$B$33)/1440),1,0)</f>
        <v>1</v>
      </c>
      <c r="Z25" s="3">
        <f>IF(AND(VLOOKUP(Z$1,test!$A$3:$F$32,5,FALSE) - VLOOKUP($B25,test!$A$3:$G$32,6,FALSE) &gt;= (test!$B$33)/1440),1,0)</f>
        <v>0</v>
      </c>
      <c r="AA25" s="3">
        <f>IF(AND(VLOOKUP(AA$1,test!$A$3:$F$32,5,FALSE) - VLOOKUP($B25,test!$A$3:$G$32,6,FALSE) &gt;= (test!$B$33)/1440),1,0)</f>
        <v>0</v>
      </c>
      <c r="AB25" s="3">
        <f>IF(AND(VLOOKUP(AB$1,test!$A$3:$F$32,5,FALSE) - VLOOKUP($B25,test!$A$3:$G$32,6,FALSE) &gt;= (test!$B$33)/1440),1,0)</f>
        <v>1</v>
      </c>
      <c r="AC25" s="3">
        <f>IF(AND(VLOOKUP(AC$1,test!$A$3:$F$32,5,FALSE) - VLOOKUP($B25,test!$A$3:$G$32,6,FALSE) &gt;= (test!$B$33)/1440),1,0)</f>
        <v>1</v>
      </c>
      <c r="AD25" s="3">
        <f>IF(AND(VLOOKUP(AD$1,test!$A$3:$F$32,5,FALSE) - VLOOKUP($B25,test!$A$3:$G$32,6,FALSE) &gt;= (test!$B$33)/1440),1,0)</f>
        <v>1</v>
      </c>
      <c r="AE25" s="3">
        <f>IF(AND(VLOOKUP(AE$1,test!$A$3:$F$32,5,FALSE) - VLOOKUP($B25,test!$A$3:$G$32,6,FALSE) &gt;= (test!$B$33)/1440),1,0)</f>
        <v>0</v>
      </c>
      <c r="AF25" s="3">
        <f>IF(AND(VLOOKUP(AF$1,test!$A$3:$F$32,5,FALSE) - VLOOKUP($B25,test!$A$3:$G$32,6,FALSE) &gt;= (test!$B$33)/1440),1,0)</f>
        <v>1</v>
      </c>
      <c r="AG25" s="3">
        <f>IF(AND(VLOOKUP(AG$1,test!$A$3:$F$32,5,FALSE) - VLOOKUP($B25,test!$A$3:$G$32,6,FALSE) &gt;= (test!$B$33)/1440),1,0)</f>
        <v>1</v>
      </c>
    </row>
    <row r="26" spans="1:33" x14ac:dyDescent="0.25">
      <c r="A26" t="s">
        <v>49</v>
      </c>
      <c r="B26" t="s">
        <v>35</v>
      </c>
      <c r="C26">
        <v>0</v>
      </c>
      <c r="D26" s="3">
        <f>IF(AND(VLOOKUP(D$1,test!$A$3:$F$32,5,FALSE) - VLOOKUP($B26,test!$A$3:$G$32,6,FALSE) &gt;= (test!$B$33)/1440),1,0)</f>
        <v>0</v>
      </c>
      <c r="E26" s="3">
        <f>IF(AND(VLOOKUP(E$1,test!$A$3:$F$32,5,FALSE) - VLOOKUP($B26,test!$A$3:$G$32,6,FALSE) &gt;= (test!$B$33)/1440),1,0)</f>
        <v>0</v>
      </c>
      <c r="F26" s="3">
        <f>IF(AND(VLOOKUP(F$1,test!$A$3:$F$32,5,FALSE) - VLOOKUP($B26,test!$A$3:$G$32,6,FALSE) &gt;= (test!$B$33)/1440),1,0)</f>
        <v>0</v>
      </c>
      <c r="G26" s="3">
        <f>IF(AND(VLOOKUP(G$1,test!$A$3:$F$32,5,FALSE) - VLOOKUP($B26,test!$A$3:$G$32,6,FALSE) &gt;= (test!$B$33)/1440),1,0)</f>
        <v>0</v>
      </c>
      <c r="H26" s="3">
        <f>IF(AND(VLOOKUP(H$1,test!$A$3:$F$32,5,FALSE) - VLOOKUP($B26,test!$A$3:$G$32,6,FALSE) &gt;= (test!$B$33)/1440),1,0)</f>
        <v>1</v>
      </c>
      <c r="I26" s="3">
        <f>IF(AND(VLOOKUP(I$1,test!$A$3:$F$32,5,FALSE) - VLOOKUP($B26,test!$A$3:$G$32,6,FALSE) &gt;= (test!$B$33)/1440),1,0)</f>
        <v>1</v>
      </c>
      <c r="J26" s="3">
        <f>IF(AND(VLOOKUP(J$1,test!$A$3:$F$32,5,FALSE) - VLOOKUP($B26,test!$A$3:$G$32,6,FALSE) &gt;= (test!$B$33)/1440),1,0)</f>
        <v>1</v>
      </c>
      <c r="K26" s="3">
        <f>IF(AND(VLOOKUP(K$1,test!$A$3:$F$32,5,FALSE) - VLOOKUP($B26,test!$A$3:$G$32,6,FALSE) &gt;= (test!$B$33)/1440),1,0)</f>
        <v>1</v>
      </c>
      <c r="L26" s="3">
        <f>IF(AND(VLOOKUP(L$1,test!$A$3:$F$32,5,FALSE) - VLOOKUP($B26,test!$A$3:$G$32,6,FALSE) &gt;= (test!$B$33)/1440),1,0)</f>
        <v>0</v>
      </c>
      <c r="M26" s="3">
        <f>IF(AND(VLOOKUP(M$1,test!$A$3:$F$32,5,FALSE) - VLOOKUP($B26,test!$A$3:$G$32,6,FALSE) &gt;= (test!$B$33)/1440),1,0)</f>
        <v>0</v>
      </c>
      <c r="N26" s="3">
        <f>IF(AND(VLOOKUP(N$1,test!$A$3:$F$32,5,FALSE) - VLOOKUP($B26,test!$A$3:$G$32,6,FALSE) &gt;= (test!$B$33)/1440),1,0)</f>
        <v>0</v>
      </c>
      <c r="O26" s="3">
        <f>IF(AND(VLOOKUP(O$1,test!$A$3:$F$32,5,FALSE) - VLOOKUP($B26,test!$A$3:$G$32,6,FALSE) &gt;= (test!$B$33)/1440),1,0)</f>
        <v>1</v>
      </c>
      <c r="P26" s="3">
        <f>IF(AND(VLOOKUP(P$1,test!$A$3:$F$32,5,FALSE) - VLOOKUP($B26,test!$A$3:$G$32,6,FALSE) &gt;= (test!$B$33)/1440),1,0)</f>
        <v>1</v>
      </c>
      <c r="Q26" s="3">
        <f>IF(AND(VLOOKUP(Q$1,test!$A$3:$F$32,5,FALSE) - VLOOKUP($B26,test!$A$3:$G$32,6,FALSE) &gt;= (test!$B$33)/1440),1,0)</f>
        <v>0</v>
      </c>
      <c r="R26" s="3">
        <f>IF(AND(VLOOKUP(R$1,test!$A$3:$F$32,5,FALSE) - VLOOKUP($B26,test!$A$3:$G$32,6,FALSE) &gt;= (test!$B$33)/1440),1,0)</f>
        <v>0</v>
      </c>
      <c r="S26" s="3">
        <f>IF(AND(VLOOKUP(S$1,test!$A$3:$F$32,5,FALSE) - VLOOKUP($B26,test!$A$3:$G$32,6,FALSE) &gt;= (test!$B$33)/1440),1,0)</f>
        <v>0</v>
      </c>
      <c r="T26" s="3">
        <f>IF(AND(VLOOKUP(T$1,test!$A$3:$F$32,5,FALSE) - VLOOKUP($B26,test!$A$3:$G$32,6,FALSE) &gt;= (test!$B$33)/1440),1,0)</f>
        <v>0</v>
      </c>
      <c r="U26" s="3">
        <f>IF(AND(VLOOKUP(U$1,test!$A$3:$F$32,5,FALSE) - VLOOKUP($B26,test!$A$3:$G$32,6,FALSE) &gt;= (test!$B$33)/1440),1,0)</f>
        <v>0</v>
      </c>
      <c r="V26" s="3">
        <f>IF(AND(VLOOKUP(V$1,test!$A$3:$F$32,5,FALSE) - VLOOKUP($B26,test!$A$3:$G$32,6,FALSE) &gt;= (test!$B$33)/1440),1,0)</f>
        <v>0</v>
      </c>
      <c r="W26" s="3">
        <f>IF(AND(VLOOKUP(W$1,test!$A$3:$F$32,5,FALSE) - VLOOKUP($B26,test!$A$3:$G$32,6,FALSE) &gt;= (test!$B$33)/1440),1,0)</f>
        <v>1</v>
      </c>
      <c r="X26" s="3">
        <f>IF(AND(VLOOKUP(X$1,test!$A$3:$F$32,5,FALSE) - VLOOKUP($B26,test!$A$3:$G$32,6,FALSE) &gt;= (test!$B$33)/1440),1,0)</f>
        <v>1</v>
      </c>
      <c r="Y26" s="3">
        <f>IF(AND(VLOOKUP(Y$1,test!$A$3:$F$32,5,FALSE) - VLOOKUP($B26,test!$A$3:$G$32,6,FALSE) &gt;= (test!$B$33)/1440),1,0)</f>
        <v>1</v>
      </c>
      <c r="Z26" s="3">
        <f>IF(AND(VLOOKUP(Z$1,test!$A$3:$F$32,5,FALSE) - VLOOKUP($B26,test!$A$3:$G$32,6,FALSE) &gt;= (test!$B$33)/1440),1,0)</f>
        <v>0</v>
      </c>
      <c r="AA26" s="3">
        <f>IF(AND(VLOOKUP(AA$1,test!$A$3:$F$32,5,FALSE) - VLOOKUP($B26,test!$A$3:$G$32,6,FALSE) &gt;= (test!$B$33)/1440),1,0)</f>
        <v>0</v>
      </c>
      <c r="AB26" s="3">
        <f>IF(AND(VLOOKUP(AB$1,test!$A$3:$F$32,5,FALSE) - VLOOKUP($B26,test!$A$3:$G$32,6,FALSE) &gt;= (test!$B$33)/1440),1,0)</f>
        <v>0</v>
      </c>
      <c r="AC26" s="3">
        <f>IF(AND(VLOOKUP(AC$1,test!$A$3:$F$32,5,FALSE) - VLOOKUP($B26,test!$A$3:$G$32,6,FALSE) &gt;= (test!$B$33)/1440),1,0)</f>
        <v>0</v>
      </c>
      <c r="AD26" s="3">
        <f>IF(AND(VLOOKUP(AD$1,test!$A$3:$F$32,5,FALSE) - VLOOKUP($B26,test!$A$3:$G$32,6,FALSE) &gt;= (test!$B$33)/1440),1,0)</f>
        <v>1</v>
      </c>
      <c r="AE26" s="3">
        <f>IF(AND(VLOOKUP(AE$1,test!$A$3:$F$32,5,FALSE) - VLOOKUP($B26,test!$A$3:$G$32,6,FALSE) &gt;= (test!$B$33)/1440),1,0)</f>
        <v>0</v>
      </c>
      <c r="AF26" s="3">
        <f>IF(AND(VLOOKUP(AF$1,test!$A$3:$F$32,5,FALSE) - VLOOKUP($B26,test!$A$3:$G$32,6,FALSE) &gt;= (test!$B$33)/1440),1,0)</f>
        <v>0</v>
      </c>
      <c r="AG26" s="3">
        <f>IF(AND(VLOOKUP(AG$1,test!$A$3:$F$32,5,FALSE) - VLOOKUP($B26,test!$A$3:$G$32,6,FALSE) &gt;= (test!$B$33)/1440),1,0)</f>
        <v>0</v>
      </c>
    </row>
    <row r="27" spans="1:33" x14ac:dyDescent="0.25">
      <c r="A27" t="s">
        <v>49</v>
      </c>
      <c r="B27" t="s">
        <v>36</v>
      </c>
      <c r="C27">
        <v>0</v>
      </c>
      <c r="D27" s="3">
        <f>IF(AND(VLOOKUP(D$1,test!$A$3:$F$32,5,FALSE) - VLOOKUP($B27,test!$A$3:$G$32,6,FALSE) &gt;= (test!$B$33)/1440),1,0)</f>
        <v>0</v>
      </c>
      <c r="E27" s="3">
        <f>IF(AND(VLOOKUP(E$1,test!$A$3:$F$32,5,FALSE) - VLOOKUP($B27,test!$A$3:$G$32,6,FALSE) &gt;= (test!$B$33)/1440),1,0)</f>
        <v>0</v>
      </c>
      <c r="F27" s="3">
        <f>IF(AND(VLOOKUP(F$1,test!$A$3:$F$32,5,FALSE) - VLOOKUP($B27,test!$A$3:$G$32,6,FALSE) &gt;= (test!$B$33)/1440),1,0)</f>
        <v>0</v>
      </c>
      <c r="G27" s="3">
        <f>IF(AND(VLOOKUP(G$1,test!$A$3:$F$32,5,FALSE) - VLOOKUP($B27,test!$A$3:$G$32,6,FALSE) &gt;= (test!$B$33)/1440),1,0)</f>
        <v>0</v>
      </c>
      <c r="H27" s="3">
        <f>IF(AND(VLOOKUP(H$1,test!$A$3:$F$32,5,FALSE) - VLOOKUP($B27,test!$A$3:$G$32,6,FALSE) &gt;= (test!$B$33)/1440),1,0)</f>
        <v>0</v>
      </c>
      <c r="I27" s="3">
        <f>IF(AND(VLOOKUP(I$1,test!$A$3:$F$32,5,FALSE) - VLOOKUP($B27,test!$A$3:$G$32,6,FALSE) &gt;= (test!$B$33)/1440),1,0)</f>
        <v>0</v>
      </c>
      <c r="J27" s="3">
        <f>IF(AND(VLOOKUP(J$1,test!$A$3:$F$32,5,FALSE) - VLOOKUP($B27,test!$A$3:$G$32,6,FALSE) &gt;= (test!$B$33)/1440),1,0)</f>
        <v>1</v>
      </c>
      <c r="K27" s="3">
        <f>IF(AND(VLOOKUP(K$1,test!$A$3:$F$32,5,FALSE) - VLOOKUP($B27,test!$A$3:$G$32,6,FALSE) &gt;= (test!$B$33)/1440),1,0)</f>
        <v>1</v>
      </c>
      <c r="L27" s="3">
        <f>IF(AND(VLOOKUP(L$1,test!$A$3:$F$32,5,FALSE) - VLOOKUP($B27,test!$A$3:$G$32,6,FALSE) &gt;= (test!$B$33)/1440),1,0)</f>
        <v>0</v>
      </c>
      <c r="M27" s="3">
        <f>IF(AND(VLOOKUP(M$1,test!$A$3:$F$32,5,FALSE) - VLOOKUP($B27,test!$A$3:$G$32,6,FALSE) &gt;= (test!$B$33)/1440),1,0)</f>
        <v>0</v>
      </c>
      <c r="N27" s="3">
        <f>IF(AND(VLOOKUP(N$1,test!$A$3:$F$32,5,FALSE) - VLOOKUP($B27,test!$A$3:$G$32,6,FALSE) &gt;= (test!$B$33)/1440),1,0)</f>
        <v>0</v>
      </c>
      <c r="O27" s="3">
        <f>IF(AND(VLOOKUP(O$1,test!$A$3:$F$32,5,FALSE) - VLOOKUP($B27,test!$A$3:$G$32,6,FALSE) &gt;= (test!$B$33)/1440),1,0)</f>
        <v>1</v>
      </c>
      <c r="P27" s="3">
        <f>IF(AND(VLOOKUP(P$1,test!$A$3:$F$32,5,FALSE) - VLOOKUP($B27,test!$A$3:$G$32,6,FALSE) &gt;= (test!$B$33)/1440),1,0)</f>
        <v>1</v>
      </c>
      <c r="Q27" s="3">
        <f>IF(AND(VLOOKUP(Q$1,test!$A$3:$F$32,5,FALSE) - VLOOKUP($B27,test!$A$3:$G$32,6,FALSE) &gt;= (test!$B$33)/1440),1,0)</f>
        <v>0</v>
      </c>
      <c r="R27" s="3">
        <f>IF(AND(VLOOKUP(R$1,test!$A$3:$F$32,5,FALSE) - VLOOKUP($B27,test!$A$3:$G$32,6,FALSE) &gt;= (test!$B$33)/1440),1,0)</f>
        <v>0</v>
      </c>
      <c r="S27" s="3">
        <f>IF(AND(VLOOKUP(S$1,test!$A$3:$F$32,5,FALSE) - VLOOKUP($B27,test!$A$3:$G$32,6,FALSE) &gt;= (test!$B$33)/1440),1,0)</f>
        <v>0</v>
      </c>
      <c r="T27" s="3">
        <f>IF(AND(VLOOKUP(T$1,test!$A$3:$F$32,5,FALSE) - VLOOKUP($B27,test!$A$3:$G$32,6,FALSE) &gt;= (test!$B$33)/1440),1,0)</f>
        <v>0</v>
      </c>
      <c r="U27" s="3">
        <f>IF(AND(VLOOKUP(U$1,test!$A$3:$F$32,5,FALSE) - VLOOKUP($B27,test!$A$3:$G$32,6,FALSE) &gt;= (test!$B$33)/1440),1,0)</f>
        <v>0</v>
      </c>
      <c r="V27" s="3">
        <f>IF(AND(VLOOKUP(V$1,test!$A$3:$F$32,5,FALSE) - VLOOKUP($B27,test!$A$3:$G$32,6,FALSE) &gt;= (test!$B$33)/1440),1,0)</f>
        <v>0</v>
      </c>
      <c r="W27" s="3">
        <f>IF(AND(VLOOKUP(W$1,test!$A$3:$F$32,5,FALSE) - VLOOKUP($B27,test!$A$3:$G$32,6,FALSE) &gt;= (test!$B$33)/1440),1,0)</f>
        <v>0</v>
      </c>
      <c r="X27" s="3">
        <f>IF(AND(VLOOKUP(X$1,test!$A$3:$F$32,5,FALSE) - VLOOKUP($B27,test!$A$3:$G$32,6,FALSE) &gt;= (test!$B$33)/1440),1,0)</f>
        <v>1</v>
      </c>
      <c r="Y27" s="3">
        <f>IF(AND(VLOOKUP(Y$1,test!$A$3:$F$32,5,FALSE) - VLOOKUP($B27,test!$A$3:$G$32,6,FALSE) &gt;= (test!$B$33)/1440),1,0)</f>
        <v>1</v>
      </c>
      <c r="Z27" s="3">
        <f>IF(AND(VLOOKUP(Z$1,test!$A$3:$F$32,5,FALSE) - VLOOKUP($B27,test!$A$3:$G$32,6,FALSE) &gt;= (test!$B$33)/1440),1,0)</f>
        <v>0</v>
      </c>
      <c r="AA27" s="3">
        <f>IF(AND(VLOOKUP(AA$1,test!$A$3:$F$32,5,FALSE) - VLOOKUP($B27,test!$A$3:$G$32,6,FALSE) &gt;= (test!$B$33)/1440),1,0)</f>
        <v>0</v>
      </c>
      <c r="AB27" s="3">
        <f>IF(AND(VLOOKUP(AB$1,test!$A$3:$F$32,5,FALSE) - VLOOKUP($B27,test!$A$3:$G$32,6,FALSE) &gt;= (test!$B$33)/1440),1,0)</f>
        <v>0</v>
      </c>
      <c r="AC27" s="3">
        <f>IF(AND(VLOOKUP(AC$1,test!$A$3:$F$32,5,FALSE) - VLOOKUP($B27,test!$A$3:$G$32,6,FALSE) &gt;= (test!$B$33)/1440),1,0)</f>
        <v>0</v>
      </c>
      <c r="AD27" s="3">
        <f>IF(AND(VLOOKUP(AD$1,test!$A$3:$F$32,5,FALSE) - VLOOKUP($B27,test!$A$3:$G$32,6,FALSE) &gt;= (test!$B$33)/1440),1,0)</f>
        <v>0</v>
      </c>
      <c r="AE27" s="3">
        <f>IF(AND(VLOOKUP(AE$1,test!$A$3:$F$32,5,FALSE) - VLOOKUP($B27,test!$A$3:$G$32,6,FALSE) &gt;= (test!$B$33)/1440),1,0)</f>
        <v>0</v>
      </c>
      <c r="AF27" s="3">
        <f>IF(AND(VLOOKUP(AF$1,test!$A$3:$F$32,5,FALSE) - VLOOKUP($B27,test!$A$3:$G$32,6,FALSE) &gt;= (test!$B$33)/1440),1,0)</f>
        <v>0</v>
      </c>
      <c r="AG27" s="3">
        <f>IF(AND(VLOOKUP(AG$1,test!$A$3:$F$32,5,FALSE) - VLOOKUP($B27,test!$A$3:$G$32,6,FALSE) &gt;= (test!$B$33)/1440),1,0)</f>
        <v>0</v>
      </c>
    </row>
    <row r="28" spans="1:33" x14ac:dyDescent="0.25">
      <c r="A28" t="s">
        <v>49</v>
      </c>
      <c r="B28" t="s">
        <v>37</v>
      </c>
      <c r="C28">
        <v>0</v>
      </c>
      <c r="D28" s="3">
        <f>IF(AND(VLOOKUP(D$1,test!$A$3:$F$32,5,FALSE) - VLOOKUP($B28,test!$A$3:$G$32,6,FALSE) &gt;= (test!$B$33)/1440),1,0)</f>
        <v>0</v>
      </c>
      <c r="E28" s="3">
        <f>IF(AND(VLOOKUP(E$1,test!$A$3:$F$32,5,FALSE) - VLOOKUP($B28,test!$A$3:$G$32,6,FALSE) &gt;= (test!$B$33)/1440),1,0)</f>
        <v>0</v>
      </c>
      <c r="F28" s="3">
        <f>IF(AND(VLOOKUP(F$1,test!$A$3:$F$32,5,FALSE) - VLOOKUP($B28,test!$A$3:$G$32,6,FALSE) &gt;= (test!$B$33)/1440),1,0)</f>
        <v>0</v>
      </c>
      <c r="G28" s="3">
        <f>IF(AND(VLOOKUP(G$1,test!$A$3:$F$32,5,FALSE) - VLOOKUP($B28,test!$A$3:$G$32,6,FALSE) &gt;= (test!$B$33)/1440),1,0)</f>
        <v>0</v>
      </c>
      <c r="H28" s="3">
        <f>IF(AND(VLOOKUP(H$1,test!$A$3:$F$32,5,FALSE) - VLOOKUP($B28,test!$A$3:$G$32,6,FALSE) &gt;= (test!$B$33)/1440),1,0)</f>
        <v>0</v>
      </c>
      <c r="I28" s="3">
        <f>IF(AND(VLOOKUP(I$1,test!$A$3:$F$32,5,FALSE) - VLOOKUP($B28,test!$A$3:$G$32,6,FALSE) &gt;= (test!$B$33)/1440),1,0)</f>
        <v>0</v>
      </c>
      <c r="J28" s="3">
        <f>IF(AND(VLOOKUP(J$1,test!$A$3:$F$32,5,FALSE) - VLOOKUP($B28,test!$A$3:$G$32,6,FALSE) &gt;= (test!$B$33)/1440),1,0)</f>
        <v>0</v>
      </c>
      <c r="K28" s="3">
        <f>IF(AND(VLOOKUP(K$1,test!$A$3:$F$32,5,FALSE) - VLOOKUP($B28,test!$A$3:$G$32,6,FALSE) &gt;= (test!$B$33)/1440),1,0)</f>
        <v>1</v>
      </c>
      <c r="L28" s="3">
        <f>IF(AND(VLOOKUP(L$1,test!$A$3:$F$32,5,FALSE) - VLOOKUP($B28,test!$A$3:$G$32,6,FALSE) &gt;= (test!$B$33)/1440),1,0)</f>
        <v>0</v>
      </c>
      <c r="M28" s="3">
        <f>IF(AND(VLOOKUP(M$1,test!$A$3:$F$32,5,FALSE) - VLOOKUP($B28,test!$A$3:$G$32,6,FALSE) &gt;= (test!$B$33)/1440),1,0)</f>
        <v>0</v>
      </c>
      <c r="N28" s="3">
        <f>IF(AND(VLOOKUP(N$1,test!$A$3:$F$32,5,FALSE) - VLOOKUP($B28,test!$A$3:$G$32,6,FALSE) &gt;= (test!$B$33)/1440),1,0)</f>
        <v>0</v>
      </c>
      <c r="O28" s="3">
        <f>IF(AND(VLOOKUP(O$1,test!$A$3:$F$32,5,FALSE) - VLOOKUP($B28,test!$A$3:$G$32,6,FALSE) &gt;= (test!$B$33)/1440),1,0)</f>
        <v>1</v>
      </c>
      <c r="P28" s="3">
        <f>IF(AND(VLOOKUP(P$1,test!$A$3:$F$32,5,FALSE) - VLOOKUP($B28,test!$A$3:$G$32,6,FALSE) &gt;= (test!$B$33)/1440),1,0)</f>
        <v>1</v>
      </c>
      <c r="Q28" s="3">
        <f>IF(AND(VLOOKUP(Q$1,test!$A$3:$F$32,5,FALSE) - VLOOKUP($B28,test!$A$3:$G$32,6,FALSE) &gt;= (test!$B$33)/1440),1,0)</f>
        <v>0</v>
      </c>
      <c r="R28" s="3">
        <f>IF(AND(VLOOKUP(R$1,test!$A$3:$F$32,5,FALSE) - VLOOKUP($B28,test!$A$3:$G$32,6,FALSE) &gt;= (test!$B$33)/1440),1,0)</f>
        <v>0</v>
      </c>
      <c r="S28" s="3">
        <f>IF(AND(VLOOKUP(S$1,test!$A$3:$F$32,5,FALSE) - VLOOKUP($B28,test!$A$3:$G$32,6,FALSE) &gt;= (test!$B$33)/1440),1,0)</f>
        <v>0</v>
      </c>
      <c r="T28" s="3">
        <f>IF(AND(VLOOKUP(T$1,test!$A$3:$F$32,5,FALSE) - VLOOKUP($B28,test!$A$3:$G$32,6,FALSE) &gt;= (test!$B$33)/1440),1,0)</f>
        <v>0</v>
      </c>
      <c r="U28" s="3">
        <f>IF(AND(VLOOKUP(U$1,test!$A$3:$F$32,5,FALSE) - VLOOKUP($B28,test!$A$3:$G$32,6,FALSE) &gt;= (test!$B$33)/1440),1,0)</f>
        <v>0</v>
      </c>
      <c r="V28" s="3">
        <f>IF(AND(VLOOKUP(V$1,test!$A$3:$F$32,5,FALSE) - VLOOKUP($B28,test!$A$3:$G$32,6,FALSE) &gt;= (test!$B$33)/1440),1,0)</f>
        <v>0</v>
      </c>
      <c r="W28" s="3">
        <f>IF(AND(VLOOKUP(W$1,test!$A$3:$F$32,5,FALSE) - VLOOKUP($B28,test!$A$3:$G$32,6,FALSE) &gt;= (test!$B$33)/1440),1,0)</f>
        <v>0</v>
      </c>
      <c r="X28" s="3">
        <f>IF(AND(VLOOKUP(X$1,test!$A$3:$F$32,5,FALSE) - VLOOKUP($B28,test!$A$3:$G$32,6,FALSE) &gt;= (test!$B$33)/1440),1,0)</f>
        <v>0</v>
      </c>
      <c r="Y28" s="3">
        <f>IF(AND(VLOOKUP(Y$1,test!$A$3:$F$32,5,FALSE) - VLOOKUP($B28,test!$A$3:$G$32,6,FALSE) &gt;= (test!$B$33)/1440),1,0)</f>
        <v>1</v>
      </c>
      <c r="Z28" s="3">
        <f>IF(AND(VLOOKUP(Z$1,test!$A$3:$F$32,5,FALSE) - VLOOKUP($B28,test!$A$3:$G$32,6,FALSE) &gt;= (test!$B$33)/1440),1,0)</f>
        <v>0</v>
      </c>
      <c r="AA28" s="3">
        <f>IF(AND(VLOOKUP(AA$1,test!$A$3:$F$32,5,FALSE) - VLOOKUP($B28,test!$A$3:$G$32,6,FALSE) &gt;= (test!$B$33)/1440),1,0)</f>
        <v>0</v>
      </c>
      <c r="AB28" s="3">
        <f>IF(AND(VLOOKUP(AB$1,test!$A$3:$F$32,5,FALSE) - VLOOKUP($B28,test!$A$3:$G$32,6,FALSE) &gt;= (test!$B$33)/1440),1,0)</f>
        <v>0</v>
      </c>
      <c r="AC28" s="3">
        <f>IF(AND(VLOOKUP(AC$1,test!$A$3:$F$32,5,FALSE) - VLOOKUP($B28,test!$A$3:$G$32,6,FALSE) &gt;= (test!$B$33)/1440),1,0)</f>
        <v>0</v>
      </c>
      <c r="AD28" s="3">
        <f>IF(AND(VLOOKUP(AD$1,test!$A$3:$F$32,5,FALSE) - VLOOKUP($B28,test!$A$3:$G$32,6,FALSE) &gt;= (test!$B$33)/1440),1,0)</f>
        <v>0</v>
      </c>
      <c r="AE28" s="3">
        <f>IF(AND(VLOOKUP(AE$1,test!$A$3:$F$32,5,FALSE) - VLOOKUP($B28,test!$A$3:$G$32,6,FALSE) &gt;= (test!$B$33)/1440),1,0)</f>
        <v>0</v>
      </c>
      <c r="AF28" s="3">
        <f>IF(AND(VLOOKUP(AF$1,test!$A$3:$F$32,5,FALSE) - VLOOKUP($B28,test!$A$3:$G$32,6,FALSE) &gt;= (test!$B$33)/1440),1,0)</f>
        <v>0</v>
      </c>
      <c r="AG28" s="3">
        <f>IF(AND(VLOOKUP(AG$1,test!$A$3:$F$32,5,FALSE) - VLOOKUP($B28,test!$A$3:$G$32,6,FALSE) &gt;= (test!$B$33)/1440),1,0)</f>
        <v>0</v>
      </c>
    </row>
    <row r="29" spans="1:33" x14ac:dyDescent="0.25">
      <c r="A29" t="s">
        <v>49</v>
      </c>
      <c r="B29" t="s">
        <v>38</v>
      </c>
      <c r="C29">
        <v>0</v>
      </c>
      <c r="D29" s="3">
        <f>IF(AND(VLOOKUP(D$1,test!$A$3:$F$32,5,FALSE) - VLOOKUP($B29,test!$A$3:$G$32,6,FALSE) &gt;= (test!$B$33)/1440),1,0)</f>
        <v>0</v>
      </c>
      <c r="E29" s="3">
        <f>IF(AND(VLOOKUP(E$1,test!$A$3:$F$32,5,FALSE) - VLOOKUP($B29,test!$A$3:$G$32,6,FALSE) &gt;= (test!$B$33)/1440),1,0)</f>
        <v>0</v>
      </c>
      <c r="F29" s="3">
        <f>IF(AND(VLOOKUP(F$1,test!$A$3:$F$32,5,FALSE) - VLOOKUP($B29,test!$A$3:$G$32,6,FALSE) &gt;= (test!$B$33)/1440),1,0)</f>
        <v>0</v>
      </c>
      <c r="G29" s="3">
        <f>IF(AND(VLOOKUP(G$1,test!$A$3:$F$32,5,FALSE) - VLOOKUP($B29,test!$A$3:$G$32,6,FALSE) &gt;= (test!$B$33)/1440),1,0)</f>
        <v>0</v>
      </c>
      <c r="H29" s="3">
        <f>IF(AND(VLOOKUP(H$1,test!$A$3:$F$32,5,FALSE) - VLOOKUP($B29,test!$A$3:$G$32,6,FALSE) &gt;= (test!$B$33)/1440),1,0)</f>
        <v>0</v>
      </c>
      <c r="I29" s="3">
        <f>IF(AND(VLOOKUP(I$1,test!$A$3:$F$32,5,FALSE) - VLOOKUP($B29,test!$A$3:$G$32,6,FALSE) &gt;= (test!$B$33)/1440),1,0)</f>
        <v>0</v>
      </c>
      <c r="J29" s="3">
        <f>IF(AND(VLOOKUP(J$1,test!$A$3:$F$32,5,FALSE) - VLOOKUP($B29,test!$A$3:$G$32,6,FALSE) &gt;= (test!$B$33)/1440),1,0)</f>
        <v>0</v>
      </c>
      <c r="K29" s="3">
        <f>IF(AND(VLOOKUP(K$1,test!$A$3:$F$32,5,FALSE) - VLOOKUP($B29,test!$A$3:$G$32,6,FALSE) &gt;= (test!$B$33)/1440),1,0)</f>
        <v>0</v>
      </c>
      <c r="L29" s="3">
        <f>IF(AND(VLOOKUP(L$1,test!$A$3:$F$32,5,FALSE) - VLOOKUP($B29,test!$A$3:$G$32,6,FALSE) &gt;= (test!$B$33)/1440),1,0)</f>
        <v>0</v>
      </c>
      <c r="M29" s="3">
        <f>IF(AND(VLOOKUP(M$1,test!$A$3:$F$32,5,FALSE) - VLOOKUP($B29,test!$A$3:$G$32,6,FALSE) &gt;= (test!$B$33)/1440),1,0)</f>
        <v>0</v>
      </c>
      <c r="N29" s="3">
        <f>IF(AND(VLOOKUP(N$1,test!$A$3:$F$32,5,FALSE) - VLOOKUP($B29,test!$A$3:$G$32,6,FALSE) &gt;= (test!$B$33)/1440),1,0)</f>
        <v>0</v>
      </c>
      <c r="O29" s="3">
        <f>IF(AND(VLOOKUP(O$1,test!$A$3:$F$32,5,FALSE) - VLOOKUP($B29,test!$A$3:$G$32,6,FALSE) &gt;= (test!$B$33)/1440),1,0)</f>
        <v>0</v>
      </c>
      <c r="P29" s="3">
        <f>IF(AND(VLOOKUP(P$1,test!$A$3:$F$32,5,FALSE) - VLOOKUP($B29,test!$A$3:$G$32,6,FALSE) &gt;= (test!$B$33)/1440),1,0)</f>
        <v>0</v>
      </c>
      <c r="Q29" s="3">
        <f>IF(AND(VLOOKUP(Q$1,test!$A$3:$F$32,5,FALSE) - VLOOKUP($B29,test!$A$3:$G$32,6,FALSE) &gt;= (test!$B$33)/1440),1,0)</f>
        <v>0</v>
      </c>
      <c r="R29" s="3">
        <f>IF(AND(VLOOKUP(R$1,test!$A$3:$F$32,5,FALSE) - VLOOKUP($B29,test!$A$3:$G$32,6,FALSE) &gt;= (test!$B$33)/1440),1,0)</f>
        <v>0</v>
      </c>
      <c r="S29" s="3">
        <f>IF(AND(VLOOKUP(S$1,test!$A$3:$F$32,5,FALSE) - VLOOKUP($B29,test!$A$3:$G$32,6,FALSE) &gt;= (test!$B$33)/1440),1,0)</f>
        <v>0</v>
      </c>
      <c r="T29" s="3">
        <f>IF(AND(VLOOKUP(T$1,test!$A$3:$F$32,5,FALSE) - VLOOKUP($B29,test!$A$3:$G$32,6,FALSE) &gt;= (test!$B$33)/1440),1,0)</f>
        <v>0</v>
      </c>
      <c r="U29" s="3">
        <f>IF(AND(VLOOKUP(U$1,test!$A$3:$F$32,5,FALSE) - VLOOKUP($B29,test!$A$3:$G$32,6,FALSE) &gt;= (test!$B$33)/1440),1,0)</f>
        <v>0</v>
      </c>
      <c r="V29" s="3">
        <f>IF(AND(VLOOKUP(V$1,test!$A$3:$F$32,5,FALSE) - VLOOKUP($B29,test!$A$3:$G$32,6,FALSE) &gt;= (test!$B$33)/1440),1,0)</f>
        <v>0</v>
      </c>
      <c r="W29" s="3">
        <f>IF(AND(VLOOKUP(W$1,test!$A$3:$F$32,5,FALSE) - VLOOKUP($B29,test!$A$3:$G$32,6,FALSE) &gt;= (test!$B$33)/1440),1,0)</f>
        <v>0</v>
      </c>
      <c r="X29" s="3">
        <f>IF(AND(VLOOKUP(X$1,test!$A$3:$F$32,5,FALSE) - VLOOKUP($B29,test!$A$3:$G$32,6,FALSE) &gt;= (test!$B$33)/1440),1,0)</f>
        <v>0</v>
      </c>
      <c r="Y29" s="3">
        <f>IF(AND(VLOOKUP(Y$1,test!$A$3:$F$32,5,FALSE) - VLOOKUP($B29,test!$A$3:$G$32,6,FALSE) &gt;= (test!$B$33)/1440),1,0)</f>
        <v>0</v>
      </c>
      <c r="Z29" s="3">
        <f>IF(AND(VLOOKUP(Z$1,test!$A$3:$F$32,5,FALSE) - VLOOKUP($B29,test!$A$3:$G$32,6,FALSE) &gt;= (test!$B$33)/1440),1,0)</f>
        <v>0</v>
      </c>
      <c r="AA29" s="3">
        <f>IF(AND(VLOOKUP(AA$1,test!$A$3:$F$32,5,FALSE) - VLOOKUP($B29,test!$A$3:$G$32,6,FALSE) &gt;= (test!$B$33)/1440),1,0)</f>
        <v>0</v>
      </c>
      <c r="AB29" s="3">
        <f>IF(AND(VLOOKUP(AB$1,test!$A$3:$F$32,5,FALSE) - VLOOKUP($B29,test!$A$3:$G$32,6,FALSE) &gt;= (test!$B$33)/1440),1,0)</f>
        <v>0</v>
      </c>
      <c r="AC29" s="3">
        <f>IF(AND(VLOOKUP(AC$1,test!$A$3:$F$32,5,FALSE) - VLOOKUP($B29,test!$A$3:$G$32,6,FALSE) &gt;= (test!$B$33)/1440),1,0)</f>
        <v>0</v>
      </c>
      <c r="AD29" s="3">
        <f>IF(AND(VLOOKUP(AD$1,test!$A$3:$F$32,5,FALSE) - VLOOKUP($B29,test!$A$3:$G$32,6,FALSE) &gt;= (test!$B$33)/1440),1,0)</f>
        <v>0</v>
      </c>
      <c r="AE29" s="3">
        <f>IF(AND(VLOOKUP(AE$1,test!$A$3:$F$32,5,FALSE) - VLOOKUP($B29,test!$A$3:$G$32,6,FALSE) &gt;= (test!$B$33)/1440),1,0)</f>
        <v>0</v>
      </c>
      <c r="AF29" s="3">
        <f>IF(AND(VLOOKUP(AF$1,test!$A$3:$F$32,5,FALSE) - VLOOKUP($B29,test!$A$3:$G$32,6,FALSE) &gt;= (test!$B$33)/1440),1,0)</f>
        <v>0</v>
      </c>
      <c r="AG29" s="3">
        <f>IF(AND(VLOOKUP(AG$1,test!$A$3:$F$32,5,FALSE) - VLOOKUP($B29,test!$A$3:$G$32,6,FALSE) &gt;= (test!$B$33)/1440),1,0)</f>
        <v>0</v>
      </c>
    </row>
    <row r="30" spans="1:33" x14ac:dyDescent="0.25">
      <c r="A30" t="s">
        <v>49</v>
      </c>
      <c r="B30" t="s">
        <v>39</v>
      </c>
      <c r="C30">
        <v>0</v>
      </c>
      <c r="D30" s="3">
        <f>IF(AND(VLOOKUP(D$1,test!$A$3:$F$32,5,FALSE) - VLOOKUP($B30,test!$A$3:$G$32,6,FALSE) &gt;= (test!$B$33)/1440),1,0)</f>
        <v>0</v>
      </c>
      <c r="E30" s="3">
        <f>IF(AND(VLOOKUP(E$1,test!$A$3:$F$32,5,FALSE) - VLOOKUP($B30,test!$A$3:$G$32,6,FALSE) &gt;= (test!$B$33)/1440),1,0)</f>
        <v>0</v>
      </c>
      <c r="F30" s="3">
        <f>IF(AND(VLOOKUP(F$1,test!$A$3:$F$32,5,FALSE) - VLOOKUP($B30,test!$A$3:$G$32,6,FALSE) &gt;= (test!$B$33)/1440),1,0)</f>
        <v>1</v>
      </c>
      <c r="G30" s="3">
        <f>IF(AND(VLOOKUP(G$1,test!$A$3:$F$32,5,FALSE) - VLOOKUP($B30,test!$A$3:$G$32,6,FALSE) &gt;= (test!$B$33)/1440),1,0)</f>
        <v>1</v>
      </c>
      <c r="H30" s="3">
        <f>IF(AND(VLOOKUP(H$1,test!$A$3:$F$32,5,FALSE) - VLOOKUP($B30,test!$A$3:$G$32,6,FALSE) &gt;= (test!$B$33)/1440),1,0)</f>
        <v>1</v>
      </c>
      <c r="I30" s="3">
        <f>IF(AND(VLOOKUP(I$1,test!$A$3:$F$32,5,FALSE) - VLOOKUP($B30,test!$A$3:$G$32,6,FALSE) &gt;= (test!$B$33)/1440),1,0)</f>
        <v>1</v>
      </c>
      <c r="J30" s="3">
        <f>IF(AND(VLOOKUP(J$1,test!$A$3:$F$32,5,FALSE) - VLOOKUP($B30,test!$A$3:$G$32,6,FALSE) &gt;= (test!$B$33)/1440),1,0)</f>
        <v>1</v>
      </c>
      <c r="K30" s="3">
        <f>IF(AND(VLOOKUP(K$1,test!$A$3:$F$32,5,FALSE) - VLOOKUP($B30,test!$A$3:$G$32,6,FALSE) &gt;= (test!$B$33)/1440),1,0)</f>
        <v>1</v>
      </c>
      <c r="L30" s="3">
        <f>IF(AND(VLOOKUP(L$1,test!$A$3:$F$32,5,FALSE) - VLOOKUP($B30,test!$A$3:$G$32,6,FALSE) &gt;= (test!$B$33)/1440),1,0)</f>
        <v>0</v>
      </c>
      <c r="M30" s="3">
        <f>IF(AND(VLOOKUP(M$1,test!$A$3:$F$32,5,FALSE) - VLOOKUP($B30,test!$A$3:$G$32,6,FALSE) &gt;= (test!$B$33)/1440),1,0)</f>
        <v>0</v>
      </c>
      <c r="N30" s="3">
        <f>IF(AND(VLOOKUP(N$1,test!$A$3:$F$32,5,FALSE) - VLOOKUP($B30,test!$A$3:$G$32,6,FALSE) &gt;= (test!$B$33)/1440),1,0)</f>
        <v>1</v>
      </c>
      <c r="O30" s="3">
        <f>IF(AND(VLOOKUP(O$1,test!$A$3:$F$32,5,FALSE) - VLOOKUP($B30,test!$A$3:$G$32,6,FALSE) &gt;= (test!$B$33)/1440),1,0)</f>
        <v>1</v>
      </c>
      <c r="P30" s="3">
        <f>IF(AND(VLOOKUP(P$1,test!$A$3:$F$32,5,FALSE) - VLOOKUP($B30,test!$A$3:$G$32,6,FALSE) &gt;= (test!$B$33)/1440),1,0)</f>
        <v>1</v>
      </c>
      <c r="Q30" s="3">
        <f>IF(AND(VLOOKUP(Q$1,test!$A$3:$F$32,5,FALSE) - VLOOKUP($B30,test!$A$3:$G$32,6,FALSE) &gt;= (test!$B$33)/1440),1,0)</f>
        <v>0</v>
      </c>
      <c r="R30" s="3">
        <f>IF(AND(VLOOKUP(R$1,test!$A$3:$F$32,5,FALSE) - VLOOKUP($B30,test!$A$3:$G$32,6,FALSE) &gt;= (test!$B$33)/1440),1,0)</f>
        <v>0</v>
      </c>
      <c r="S30" s="3">
        <f>IF(AND(VLOOKUP(S$1,test!$A$3:$F$32,5,FALSE) - VLOOKUP($B30,test!$A$3:$G$32,6,FALSE) &gt;= (test!$B$33)/1440),1,0)</f>
        <v>0</v>
      </c>
      <c r="T30" s="3">
        <f>IF(AND(VLOOKUP(T$1,test!$A$3:$F$32,5,FALSE) - VLOOKUP($B30,test!$A$3:$G$32,6,FALSE) &gt;= (test!$B$33)/1440),1,0)</f>
        <v>0</v>
      </c>
      <c r="U30" s="3">
        <f>IF(AND(VLOOKUP(U$1,test!$A$3:$F$32,5,FALSE) - VLOOKUP($B30,test!$A$3:$G$32,6,FALSE) &gt;= (test!$B$33)/1440),1,0)</f>
        <v>1</v>
      </c>
      <c r="V30" s="3">
        <f>IF(AND(VLOOKUP(V$1,test!$A$3:$F$32,5,FALSE) - VLOOKUP($B30,test!$A$3:$G$32,6,FALSE) &gt;= (test!$B$33)/1440),1,0)</f>
        <v>1</v>
      </c>
      <c r="W30" s="3">
        <f>IF(AND(VLOOKUP(W$1,test!$A$3:$F$32,5,FALSE) - VLOOKUP($B30,test!$A$3:$G$32,6,FALSE) &gt;= (test!$B$33)/1440),1,0)</f>
        <v>1</v>
      </c>
      <c r="X30" s="3">
        <f>IF(AND(VLOOKUP(X$1,test!$A$3:$F$32,5,FALSE) - VLOOKUP($B30,test!$A$3:$G$32,6,FALSE) &gt;= (test!$B$33)/1440),1,0)</f>
        <v>1</v>
      </c>
      <c r="Y30" s="3">
        <f>IF(AND(VLOOKUP(Y$1,test!$A$3:$F$32,5,FALSE) - VLOOKUP($B30,test!$A$3:$G$32,6,FALSE) &gt;= (test!$B$33)/1440),1,0)</f>
        <v>1</v>
      </c>
      <c r="Z30" s="3">
        <f>IF(AND(VLOOKUP(Z$1,test!$A$3:$F$32,5,FALSE) - VLOOKUP($B30,test!$A$3:$G$32,6,FALSE) &gt;= (test!$B$33)/1440),1,0)</f>
        <v>0</v>
      </c>
      <c r="AA30" s="3">
        <f>IF(AND(VLOOKUP(AA$1,test!$A$3:$F$32,5,FALSE) - VLOOKUP($B30,test!$A$3:$G$32,6,FALSE) &gt;= (test!$B$33)/1440),1,0)</f>
        <v>0</v>
      </c>
      <c r="AB30" s="3">
        <f>IF(AND(VLOOKUP(AB$1,test!$A$3:$F$32,5,FALSE) - VLOOKUP($B30,test!$A$3:$G$32,6,FALSE) &gt;= (test!$B$33)/1440),1,0)</f>
        <v>1</v>
      </c>
      <c r="AC30" s="3">
        <f>IF(AND(VLOOKUP(AC$1,test!$A$3:$F$32,5,FALSE) - VLOOKUP($B30,test!$A$3:$G$32,6,FALSE) &gt;= (test!$B$33)/1440),1,0)</f>
        <v>1</v>
      </c>
      <c r="AD30" s="3">
        <f>IF(AND(VLOOKUP(AD$1,test!$A$3:$F$32,5,FALSE) - VLOOKUP($B30,test!$A$3:$G$32,6,FALSE) &gt;= (test!$B$33)/1440),1,0)</f>
        <v>1</v>
      </c>
      <c r="AE30" s="3">
        <f>IF(AND(VLOOKUP(AE$1,test!$A$3:$F$32,5,FALSE) - VLOOKUP($B30,test!$A$3:$G$32,6,FALSE) &gt;= (test!$B$33)/1440),1,0)</f>
        <v>0</v>
      </c>
      <c r="AF30" s="3">
        <f>IF(AND(VLOOKUP(AF$1,test!$A$3:$F$32,5,FALSE) - VLOOKUP($B30,test!$A$3:$G$32,6,FALSE) &gt;= (test!$B$33)/1440),1,0)</f>
        <v>1</v>
      </c>
      <c r="AG30" s="3">
        <f>IF(AND(VLOOKUP(AG$1,test!$A$3:$F$32,5,FALSE) - VLOOKUP($B30,test!$A$3:$G$32,6,FALSE) &gt;= (test!$B$33)/1440),1,0)</f>
        <v>1</v>
      </c>
    </row>
    <row r="31" spans="1:33" x14ac:dyDescent="0.25">
      <c r="A31" t="s">
        <v>49</v>
      </c>
      <c r="B31" t="s">
        <v>40</v>
      </c>
      <c r="C31">
        <v>0</v>
      </c>
      <c r="D31" s="3">
        <f>IF(AND(VLOOKUP(D$1,test!$A$3:$F$32,5,FALSE) - VLOOKUP($B31,test!$A$3:$G$32,6,FALSE) &gt;= (test!$B$33)/1440),1,0)</f>
        <v>0</v>
      </c>
      <c r="E31" s="3">
        <f>IF(AND(VLOOKUP(E$1,test!$A$3:$F$32,5,FALSE) - VLOOKUP($B31,test!$A$3:$G$32,6,FALSE) &gt;= (test!$B$33)/1440),1,0)</f>
        <v>0</v>
      </c>
      <c r="F31" s="3">
        <f>IF(AND(VLOOKUP(F$1,test!$A$3:$F$32,5,FALSE) - VLOOKUP($B31,test!$A$3:$G$32,6,FALSE) &gt;= (test!$B$33)/1440),1,0)</f>
        <v>0</v>
      </c>
      <c r="G31" s="3">
        <f>IF(AND(VLOOKUP(G$1,test!$A$3:$F$32,5,FALSE) - VLOOKUP($B31,test!$A$3:$G$32,6,FALSE) &gt;= (test!$B$33)/1440),1,0)</f>
        <v>0</v>
      </c>
      <c r="H31" s="3">
        <f>IF(AND(VLOOKUP(H$1,test!$A$3:$F$32,5,FALSE) - VLOOKUP($B31,test!$A$3:$G$32,6,FALSE) &gt;= (test!$B$33)/1440),1,0)</f>
        <v>0</v>
      </c>
      <c r="I31" s="3">
        <f>IF(AND(VLOOKUP(I$1,test!$A$3:$F$32,5,FALSE) - VLOOKUP($B31,test!$A$3:$G$32,6,FALSE) &gt;= (test!$B$33)/1440),1,0)</f>
        <v>0</v>
      </c>
      <c r="J31" s="3">
        <f>IF(AND(VLOOKUP(J$1,test!$A$3:$F$32,5,FALSE) - VLOOKUP($B31,test!$A$3:$G$32,6,FALSE) &gt;= (test!$B$33)/1440),1,0)</f>
        <v>0</v>
      </c>
      <c r="K31" s="3">
        <f>IF(AND(VLOOKUP(K$1,test!$A$3:$F$32,5,FALSE) - VLOOKUP($B31,test!$A$3:$G$32,6,FALSE) &gt;= (test!$B$33)/1440),1,0)</f>
        <v>1</v>
      </c>
      <c r="L31" s="3">
        <f>IF(AND(VLOOKUP(L$1,test!$A$3:$F$32,5,FALSE) - VLOOKUP($B31,test!$A$3:$G$32,6,FALSE) &gt;= (test!$B$33)/1440),1,0)</f>
        <v>0</v>
      </c>
      <c r="M31" s="3">
        <f>IF(AND(VLOOKUP(M$1,test!$A$3:$F$32,5,FALSE) - VLOOKUP($B31,test!$A$3:$G$32,6,FALSE) &gt;= (test!$B$33)/1440),1,0)</f>
        <v>0</v>
      </c>
      <c r="N31" s="3">
        <f>IF(AND(VLOOKUP(N$1,test!$A$3:$F$32,5,FALSE) - VLOOKUP($B31,test!$A$3:$G$32,6,FALSE) &gt;= (test!$B$33)/1440),1,0)</f>
        <v>0</v>
      </c>
      <c r="O31" s="3">
        <f>IF(AND(VLOOKUP(O$1,test!$A$3:$F$32,5,FALSE) - VLOOKUP($B31,test!$A$3:$G$32,6,FALSE) &gt;= (test!$B$33)/1440),1,0)</f>
        <v>1</v>
      </c>
      <c r="P31" s="3">
        <f>IF(AND(VLOOKUP(P$1,test!$A$3:$F$32,5,FALSE) - VLOOKUP($B31,test!$A$3:$G$32,6,FALSE) &gt;= (test!$B$33)/1440),1,0)</f>
        <v>1</v>
      </c>
      <c r="Q31" s="3">
        <f>IF(AND(VLOOKUP(Q$1,test!$A$3:$F$32,5,FALSE) - VLOOKUP($B31,test!$A$3:$G$32,6,FALSE) &gt;= (test!$B$33)/1440),1,0)</f>
        <v>0</v>
      </c>
      <c r="R31" s="3">
        <f>IF(AND(VLOOKUP(R$1,test!$A$3:$F$32,5,FALSE) - VLOOKUP($B31,test!$A$3:$G$32,6,FALSE) &gt;= (test!$B$33)/1440),1,0)</f>
        <v>0</v>
      </c>
      <c r="S31" s="3">
        <f>IF(AND(VLOOKUP(S$1,test!$A$3:$F$32,5,FALSE) - VLOOKUP($B31,test!$A$3:$G$32,6,FALSE) &gt;= (test!$B$33)/1440),1,0)</f>
        <v>0</v>
      </c>
      <c r="T31" s="3">
        <f>IF(AND(VLOOKUP(T$1,test!$A$3:$F$32,5,FALSE) - VLOOKUP($B31,test!$A$3:$G$32,6,FALSE) &gt;= (test!$B$33)/1440),1,0)</f>
        <v>0</v>
      </c>
      <c r="U31" s="3">
        <f>IF(AND(VLOOKUP(U$1,test!$A$3:$F$32,5,FALSE) - VLOOKUP($B31,test!$A$3:$G$32,6,FALSE) &gt;= (test!$B$33)/1440),1,0)</f>
        <v>0</v>
      </c>
      <c r="V31" s="3">
        <f>IF(AND(VLOOKUP(V$1,test!$A$3:$F$32,5,FALSE) - VLOOKUP($B31,test!$A$3:$G$32,6,FALSE) &gt;= (test!$B$33)/1440),1,0)</f>
        <v>0</v>
      </c>
      <c r="W31" s="3">
        <f>IF(AND(VLOOKUP(W$1,test!$A$3:$F$32,5,FALSE) - VLOOKUP($B31,test!$A$3:$G$32,6,FALSE) &gt;= (test!$B$33)/1440),1,0)</f>
        <v>0</v>
      </c>
      <c r="X31" s="3">
        <f>IF(AND(VLOOKUP(X$1,test!$A$3:$F$32,5,FALSE) - VLOOKUP($B31,test!$A$3:$G$32,6,FALSE) &gt;= (test!$B$33)/1440),1,0)</f>
        <v>0</v>
      </c>
      <c r="Y31" s="3">
        <f>IF(AND(VLOOKUP(Y$1,test!$A$3:$F$32,5,FALSE) - VLOOKUP($B31,test!$A$3:$G$32,6,FALSE) &gt;= (test!$B$33)/1440),1,0)</f>
        <v>1</v>
      </c>
      <c r="Z31" s="3">
        <f>IF(AND(VLOOKUP(Z$1,test!$A$3:$F$32,5,FALSE) - VLOOKUP($B31,test!$A$3:$G$32,6,FALSE) &gt;= (test!$B$33)/1440),1,0)</f>
        <v>0</v>
      </c>
      <c r="AA31" s="3">
        <f>IF(AND(VLOOKUP(AA$1,test!$A$3:$F$32,5,FALSE) - VLOOKUP($B31,test!$A$3:$G$32,6,FALSE) &gt;= (test!$B$33)/1440),1,0)</f>
        <v>0</v>
      </c>
      <c r="AB31" s="3">
        <f>IF(AND(VLOOKUP(AB$1,test!$A$3:$F$32,5,FALSE) - VLOOKUP($B31,test!$A$3:$G$32,6,FALSE) &gt;= (test!$B$33)/1440),1,0)</f>
        <v>0</v>
      </c>
      <c r="AC31" s="3">
        <f>IF(AND(VLOOKUP(AC$1,test!$A$3:$F$32,5,FALSE) - VLOOKUP($B31,test!$A$3:$G$32,6,FALSE) &gt;= (test!$B$33)/1440),1,0)</f>
        <v>0</v>
      </c>
      <c r="AD31" s="3">
        <f>IF(AND(VLOOKUP(AD$1,test!$A$3:$F$32,5,FALSE) - VLOOKUP($B31,test!$A$3:$G$32,6,FALSE) &gt;= (test!$B$33)/1440),1,0)</f>
        <v>0</v>
      </c>
      <c r="AE31" s="3">
        <f>IF(AND(VLOOKUP(AE$1,test!$A$3:$F$32,5,FALSE) - VLOOKUP($B31,test!$A$3:$G$32,6,FALSE) &gt;= (test!$B$33)/1440),1,0)</f>
        <v>0</v>
      </c>
      <c r="AF31" s="3">
        <f>IF(AND(VLOOKUP(AF$1,test!$A$3:$F$32,5,FALSE) - VLOOKUP($B31,test!$A$3:$G$32,6,FALSE) &gt;= (test!$B$33)/1440),1,0)</f>
        <v>0</v>
      </c>
      <c r="AG31" s="3">
        <f>IF(AND(VLOOKUP(AG$1,test!$A$3:$F$32,5,FALSE) - VLOOKUP($B31,test!$A$3:$G$32,6,FALSE) &gt;= (test!$B$33)/1440),1,0)</f>
        <v>0</v>
      </c>
    </row>
    <row r="32" spans="1:33" x14ac:dyDescent="0.25">
      <c r="A32" t="s">
        <v>49</v>
      </c>
      <c r="B32" t="s">
        <v>41</v>
      </c>
      <c r="C32">
        <v>0</v>
      </c>
      <c r="D32" s="3">
        <f>IF(AND(VLOOKUP(D$1,test!$A$3:$F$32,5,FALSE) - VLOOKUP($B32,test!$A$3:$G$32,6,FALSE) &gt;= (test!$B$33)/1440),1,0)</f>
        <v>0</v>
      </c>
      <c r="E32" s="3">
        <f>IF(AND(VLOOKUP(E$1,test!$A$3:$F$32,5,FALSE) - VLOOKUP($B32,test!$A$3:$G$32,6,FALSE) &gt;= (test!$B$33)/1440),1,0)</f>
        <v>0</v>
      </c>
      <c r="F32" s="3">
        <f>IF(AND(VLOOKUP(F$1,test!$A$3:$F$32,5,FALSE) - VLOOKUP($B32,test!$A$3:$G$32,6,FALSE) &gt;= (test!$B$33)/1440),1,0)</f>
        <v>0</v>
      </c>
      <c r="G32" s="3">
        <f>IF(AND(VLOOKUP(G$1,test!$A$3:$F$32,5,FALSE) - VLOOKUP($B32,test!$A$3:$G$32,6,FALSE) &gt;= (test!$B$33)/1440),1,0)</f>
        <v>0</v>
      </c>
      <c r="H32" s="3">
        <f>IF(AND(VLOOKUP(H$1,test!$A$3:$F$32,5,FALSE) - VLOOKUP($B32,test!$A$3:$G$32,6,FALSE) &gt;= (test!$B$33)/1440),1,0)</f>
        <v>0</v>
      </c>
      <c r="I32" s="3">
        <f>IF(AND(VLOOKUP(I$1,test!$A$3:$F$32,5,FALSE) - VLOOKUP($B32,test!$A$3:$G$32,6,FALSE) &gt;= (test!$B$33)/1440),1,0)</f>
        <v>0</v>
      </c>
      <c r="J32" s="3">
        <f>IF(AND(VLOOKUP(J$1,test!$A$3:$F$32,5,FALSE) - VLOOKUP($B32,test!$A$3:$G$32,6,FALSE) &gt;= (test!$B$33)/1440),1,0)</f>
        <v>0</v>
      </c>
      <c r="K32" s="3">
        <f>IF(AND(VLOOKUP(K$1,test!$A$3:$F$32,5,FALSE) - VLOOKUP($B32,test!$A$3:$G$32,6,FALSE) &gt;= (test!$B$33)/1440),1,0)</f>
        <v>1</v>
      </c>
      <c r="L32" s="3">
        <f>IF(AND(VLOOKUP(L$1,test!$A$3:$F$32,5,FALSE) - VLOOKUP($B32,test!$A$3:$G$32,6,FALSE) &gt;= (test!$B$33)/1440),1,0)</f>
        <v>0</v>
      </c>
      <c r="M32" s="3">
        <f>IF(AND(VLOOKUP(M$1,test!$A$3:$F$32,5,FALSE) - VLOOKUP($B32,test!$A$3:$G$32,6,FALSE) &gt;= (test!$B$33)/1440),1,0)</f>
        <v>0</v>
      </c>
      <c r="N32" s="3">
        <f>IF(AND(VLOOKUP(N$1,test!$A$3:$F$32,5,FALSE) - VLOOKUP($B32,test!$A$3:$G$32,6,FALSE) &gt;= (test!$B$33)/1440),1,0)</f>
        <v>0</v>
      </c>
      <c r="O32" s="3">
        <f>IF(AND(VLOOKUP(O$1,test!$A$3:$F$32,5,FALSE) - VLOOKUP($B32,test!$A$3:$G$32,6,FALSE) &gt;= (test!$B$33)/1440),1,0)</f>
        <v>1</v>
      </c>
      <c r="P32" s="3">
        <f>IF(AND(VLOOKUP(P$1,test!$A$3:$F$32,5,FALSE) - VLOOKUP($B32,test!$A$3:$G$32,6,FALSE) &gt;= (test!$B$33)/1440),1,0)</f>
        <v>1</v>
      </c>
      <c r="Q32" s="3">
        <f>IF(AND(VLOOKUP(Q$1,test!$A$3:$F$32,5,FALSE) - VLOOKUP($B32,test!$A$3:$G$32,6,FALSE) &gt;= (test!$B$33)/1440),1,0)</f>
        <v>0</v>
      </c>
      <c r="R32" s="3">
        <f>IF(AND(VLOOKUP(R$1,test!$A$3:$F$32,5,FALSE) - VLOOKUP($B32,test!$A$3:$G$32,6,FALSE) &gt;= (test!$B$33)/1440),1,0)</f>
        <v>0</v>
      </c>
      <c r="S32" s="3">
        <f>IF(AND(VLOOKUP(S$1,test!$A$3:$F$32,5,FALSE) - VLOOKUP($B32,test!$A$3:$G$32,6,FALSE) &gt;= (test!$B$33)/1440),1,0)</f>
        <v>0</v>
      </c>
      <c r="T32" s="3">
        <f>IF(AND(VLOOKUP(T$1,test!$A$3:$F$32,5,FALSE) - VLOOKUP($B32,test!$A$3:$G$32,6,FALSE) &gt;= (test!$B$33)/1440),1,0)</f>
        <v>0</v>
      </c>
      <c r="U32" s="3">
        <f>IF(AND(VLOOKUP(U$1,test!$A$3:$F$32,5,FALSE) - VLOOKUP($B32,test!$A$3:$G$32,6,FALSE) &gt;= (test!$B$33)/1440),1,0)</f>
        <v>0</v>
      </c>
      <c r="V32" s="3">
        <f>IF(AND(VLOOKUP(V$1,test!$A$3:$F$32,5,FALSE) - VLOOKUP($B32,test!$A$3:$G$32,6,FALSE) &gt;= (test!$B$33)/1440),1,0)</f>
        <v>0</v>
      </c>
      <c r="W32" s="3">
        <f>IF(AND(VLOOKUP(W$1,test!$A$3:$F$32,5,FALSE) - VLOOKUP($B32,test!$A$3:$G$32,6,FALSE) &gt;= (test!$B$33)/1440),1,0)</f>
        <v>0</v>
      </c>
      <c r="X32" s="3">
        <f>IF(AND(VLOOKUP(X$1,test!$A$3:$F$32,5,FALSE) - VLOOKUP($B32,test!$A$3:$G$32,6,FALSE) &gt;= (test!$B$33)/1440),1,0)</f>
        <v>0</v>
      </c>
      <c r="Y32" s="3">
        <f>IF(AND(VLOOKUP(Y$1,test!$A$3:$F$32,5,FALSE) - VLOOKUP($B32,test!$A$3:$G$32,6,FALSE) &gt;= (test!$B$33)/1440),1,0)</f>
        <v>0</v>
      </c>
      <c r="Z32" s="3">
        <f>IF(AND(VLOOKUP(Z$1,test!$A$3:$F$32,5,FALSE) - VLOOKUP($B32,test!$A$3:$G$32,6,FALSE) &gt;= (test!$B$33)/1440),1,0)</f>
        <v>0</v>
      </c>
      <c r="AA32" s="3">
        <f>IF(AND(VLOOKUP(AA$1,test!$A$3:$F$32,5,FALSE) - VLOOKUP($B32,test!$A$3:$G$32,6,FALSE) &gt;= (test!$B$33)/1440),1,0)</f>
        <v>0</v>
      </c>
      <c r="AB32" s="3">
        <f>IF(AND(VLOOKUP(AB$1,test!$A$3:$F$32,5,FALSE) - VLOOKUP($B32,test!$A$3:$G$32,6,FALSE) &gt;= (test!$B$33)/1440),1,0)</f>
        <v>0</v>
      </c>
      <c r="AC32" s="3">
        <f>IF(AND(VLOOKUP(AC$1,test!$A$3:$F$32,5,FALSE) - VLOOKUP($B32,test!$A$3:$G$32,6,FALSE) &gt;= (test!$B$33)/1440),1,0)</f>
        <v>0</v>
      </c>
      <c r="AD32" s="3">
        <f>IF(AND(VLOOKUP(AD$1,test!$A$3:$F$32,5,FALSE) - VLOOKUP($B32,test!$A$3:$G$32,6,FALSE) &gt;= (test!$B$33)/1440),1,0)</f>
        <v>0</v>
      </c>
      <c r="AE32" s="3">
        <f>IF(AND(VLOOKUP(AE$1,test!$A$3:$F$32,5,FALSE) - VLOOKUP($B32,test!$A$3:$G$32,6,FALSE) &gt;= (test!$B$33)/1440),1,0)</f>
        <v>0</v>
      </c>
      <c r="AF32" s="3">
        <f>IF(AND(VLOOKUP(AF$1,test!$A$3:$F$32,5,FALSE) - VLOOKUP($B32,test!$A$3:$G$32,6,FALSE) &gt;= (test!$B$33)/1440),1,0)</f>
        <v>0</v>
      </c>
      <c r="AG32" s="3">
        <f>IF(AND(VLOOKUP(AG$1,test!$A$3:$F$32,5,FALSE) - VLOOKUP($B32,test!$A$3:$G$32,6,FALSE) &gt;= (test!$B$33)/1440),1,0)</f>
        <v>0</v>
      </c>
    </row>
    <row r="33" spans="1:33" x14ac:dyDescent="0.25">
      <c r="A33" t="s">
        <v>59</v>
      </c>
      <c r="B33" t="s">
        <v>47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</row>
    <row r="34" spans="1:33" x14ac:dyDescent="0.25">
      <c r="A34" t="s">
        <v>59</v>
      </c>
      <c r="B34" t="s">
        <v>6</v>
      </c>
      <c r="C34">
        <v>0</v>
      </c>
      <c r="D34" s="3">
        <f>IF(AND(VLOOKUP(D$1,test!$A$3:$F$32,5,FALSE) - VLOOKUP($B34,test!$A$3:$G$32,6,FALSE) &gt;= (test!$B$34)/1440),1,0)</f>
        <v>0</v>
      </c>
      <c r="E34" s="3">
        <f>IF(AND(VLOOKUP(E$1,test!$A$3:$F$32,5,FALSE) - VLOOKUP($B34,test!$A$3:$G$32,6,FALSE) &gt;= (test!$B$34)/1440),1,0)</f>
        <v>0</v>
      </c>
      <c r="F34" s="3">
        <f>IF(AND(VLOOKUP(F$1,test!$A$3:$F$32,5,FALSE) - VLOOKUP($B34,test!$A$3:$G$32,6,FALSE) &gt;= (test!$B$34)/1440),1,0)</f>
        <v>1</v>
      </c>
      <c r="G34" s="3">
        <f>IF(AND(VLOOKUP(G$1,test!$A$3:$F$32,5,FALSE) - VLOOKUP($B34,test!$A$3:$G$32,6,FALSE) &gt;= (test!$B$34)/1440),1,0)</f>
        <v>1</v>
      </c>
      <c r="H34" s="3">
        <f>IF(AND(VLOOKUP(H$1,test!$A$3:$F$32,5,FALSE) - VLOOKUP($B34,test!$A$3:$G$32,6,FALSE) &gt;= (test!$B$34)/1440),1,0)</f>
        <v>1</v>
      </c>
      <c r="I34" s="3">
        <f>IF(AND(VLOOKUP(I$1,test!$A$3:$F$32,5,FALSE) - VLOOKUP($B34,test!$A$3:$G$32,6,FALSE) &gt;= (test!$B$34)/1440),1,0)</f>
        <v>1</v>
      </c>
      <c r="J34" s="3">
        <f>IF(AND(VLOOKUP(J$1,test!$A$3:$F$32,5,FALSE) - VLOOKUP($B34,test!$A$3:$G$32,6,FALSE) &gt;= (test!$B$34)/1440),1,0)</f>
        <v>1</v>
      </c>
      <c r="K34" s="3">
        <f>IF(AND(VLOOKUP(K$1,test!$A$3:$F$32,5,FALSE) - VLOOKUP($B34,test!$A$3:$G$32,6,FALSE) &gt;= (test!$B$34)/1440),1,0)</f>
        <v>1</v>
      </c>
      <c r="L34" s="3">
        <f>IF(AND(VLOOKUP(L$1,test!$A$3:$F$32,5,FALSE) - VLOOKUP($B34,test!$A$3:$G$32,6,FALSE) &gt;= (test!$B$34)/1440),1,0)</f>
        <v>0</v>
      </c>
      <c r="M34" s="3">
        <f>IF(AND(VLOOKUP(M$1,test!$A$3:$F$32,5,FALSE) - VLOOKUP($B34,test!$A$3:$G$32,6,FALSE) &gt;= (test!$B$34)/1440),1,0)</f>
        <v>0</v>
      </c>
      <c r="N34" s="3">
        <f>IF(AND(VLOOKUP(N$1,test!$A$3:$F$32,5,FALSE) - VLOOKUP($B34,test!$A$3:$G$32,6,FALSE) &gt;= (test!$B$34)/1440),1,0)</f>
        <v>1</v>
      </c>
      <c r="O34" s="3">
        <f>IF(AND(VLOOKUP(O$1,test!$A$3:$F$32,5,FALSE) - VLOOKUP($B34,test!$A$3:$G$32,6,FALSE) &gt;= (test!$B$34)/1440),1,0)</f>
        <v>1</v>
      </c>
      <c r="P34" s="3">
        <f>IF(AND(VLOOKUP(P$1,test!$A$3:$F$32,5,FALSE) - VLOOKUP($B34,test!$A$3:$G$32,6,FALSE) &gt;= (test!$B$34)/1440),1,0)</f>
        <v>1</v>
      </c>
      <c r="Q34" s="3">
        <f>IF(AND(VLOOKUP(Q$1,test!$A$3:$F$32,5,FALSE) - VLOOKUP($B34,test!$A$3:$G$32,6,FALSE) &gt;= (test!$B$34)/1440),1,0)</f>
        <v>0</v>
      </c>
      <c r="R34" s="3">
        <f>IF(AND(VLOOKUP(R$1,test!$A$3:$F$32,5,FALSE) - VLOOKUP($B34,test!$A$3:$G$32,6,FALSE) &gt;= (test!$B$34)/1440),1,0)</f>
        <v>0</v>
      </c>
      <c r="S34" s="3">
        <f>IF(AND(VLOOKUP(S$1,test!$A$3:$F$32,5,FALSE) - VLOOKUP($B34,test!$A$3:$G$32,6,FALSE) &gt;= (test!$B$34)/1440),1,0)</f>
        <v>0</v>
      </c>
      <c r="T34" s="3">
        <f>IF(AND(VLOOKUP(T$1,test!$A$3:$F$32,5,FALSE) - VLOOKUP($B34,test!$A$3:$G$32,6,FALSE) &gt;= (test!$B$34)/1440),1,0)</f>
        <v>0</v>
      </c>
      <c r="U34" s="3">
        <f>IF(AND(VLOOKUP(U$1,test!$A$3:$F$32,5,FALSE) - VLOOKUP($B34,test!$A$3:$G$32,6,FALSE) &gt;= (test!$B$34)/1440),1,0)</f>
        <v>1</v>
      </c>
      <c r="V34" s="3">
        <f>IF(AND(VLOOKUP(V$1,test!$A$3:$F$32,5,FALSE) - VLOOKUP($B34,test!$A$3:$G$32,6,FALSE) &gt;= (test!$B$34)/1440),1,0)</f>
        <v>1</v>
      </c>
      <c r="W34" s="3">
        <f>IF(AND(VLOOKUP(W$1,test!$A$3:$F$32,5,FALSE) - VLOOKUP($B34,test!$A$3:$G$32,6,FALSE) &gt;= (test!$B$34)/1440),1,0)</f>
        <v>1</v>
      </c>
      <c r="X34" s="3">
        <f>IF(AND(VLOOKUP(X$1,test!$A$3:$F$32,5,FALSE) - VLOOKUP($B34,test!$A$3:$G$32,6,FALSE) &gt;= (test!$B$34)/1440),1,0)</f>
        <v>1</v>
      </c>
      <c r="Y34" s="3">
        <f>IF(AND(VLOOKUP(Y$1,test!$A$3:$F$32,5,FALSE) - VLOOKUP($B34,test!$A$3:$G$32,6,FALSE) &gt;= (test!$B$34)/1440),1,0)</f>
        <v>1</v>
      </c>
      <c r="Z34" s="3">
        <f>IF(AND(VLOOKUP(Z$1,test!$A$3:$F$32,5,FALSE) - VLOOKUP($B34,test!$A$3:$G$32,6,FALSE) &gt;= (test!$B$34)/1440),1,0)</f>
        <v>0</v>
      </c>
      <c r="AA34" s="3">
        <f>IF(AND(VLOOKUP(AA$1,test!$A$3:$F$32,5,FALSE) - VLOOKUP($B34,test!$A$3:$G$32,6,FALSE) &gt;= (test!$B$34)/1440),1,0)</f>
        <v>0</v>
      </c>
      <c r="AB34" s="3">
        <f>IF(AND(VLOOKUP(AB$1,test!$A$3:$F$32,5,FALSE) - VLOOKUP($B34,test!$A$3:$G$32,6,FALSE) &gt;= (test!$B$34)/1440),1,0)</f>
        <v>1</v>
      </c>
      <c r="AC34" s="3">
        <f>IF(AND(VLOOKUP(AC$1,test!$A$3:$F$32,5,FALSE) - VLOOKUP($B34,test!$A$3:$G$32,6,FALSE) &gt;= (test!$B$34)/1440),1,0)</f>
        <v>1</v>
      </c>
      <c r="AD34" s="3">
        <f>IF(AND(VLOOKUP(AD$1,test!$A$3:$F$32,5,FALSE) - VLOOKUP($B34,test!$A$3:$G$32,6,FALSE) &gt;= (test!$B$34)/1440),1,0)</f>
        <v>1</v>
      </c>
      <c r="AE34" s="3">
        <f>IF(AND(VLOOKUP(AE$1,test!$A$3:$F$32,5,FALSE) - VLOOKUP($B34,test!$A$3:$G$32,6,FALSE) &gt;= (test!$B$34)/1440),1,0)</f>
        <v>0</v>
      </c>
      <c r="AF34" s="3">
        <f>IF(AND(VLOOKUP(AF$1,test!$A$3:$F$32,5,FALSE) - VLOOKUP($B34,test!$A$3:$G$32,6,FALSE) &gt;= (test!$B$34)/1440),1,0)</f>
        <v>1</v>
      </c>
      <c r="AG34" s="3">
        <f>IF(AND(VLOOKUP(AG$1,test!$A$3:$F$32,5,FALSE) - VLOOKUP($B34,test!$A$3:$G$32,6,FALSE) &gt;= (test!$B$34)/1440),1,0)</f>
        <v>1</v>
      </c>
    </row>
    <row r="35" spans="1:33" x14ac:dyDescent="0.25">
      <c r="A35" t="s">
        <v>59</v>
      </c>
      <c r="B35" t="s">
        <v>9</v>
      </c>
      <c r="C35">
        <v>0</v>
      </c>
      <c r="D35" s="3">
        <f>IF(AND(VLOOKUP(D$1,test!$A$3:$F$32,5,FALSE) - VLOOKUP($B35,test!$A$3:$G$32,6,FALSE) &gt;= (test!$B$34)/1440),1,0)</f>
        <v>0</v>
      </c>
      <c r="E35" s="3">
        <f>IF(AND(VLOOKUP(E$1,test!$A$3:$F$32,5,FALSE) - VLOOKUP($B35,test!$A$3:$G$32,6,FALSE) &gt;= (test!$B$34)/1440),1,0)</f>
        <v>0</v>
      </c>
      <c r="F35" s="3">
        <f>IF(AND(VLOOKUP(F$1,test!$A$3:$F$32,5,FALSE) - VLOOKUP($B35,test!$A$3:$G$32,6,FALSE) &gt;= (test!$B$34)/1440),1,0)</f>
        <v>0</v>
      </c>
      <c r="G35" s="3">
        <f>IF(AND(VLOOKUP(G$1,test!$A$3:$F$32,5,FALSE) - VLOOKUP($B35,test!$A$3:$G$32,6,FALSE) &gt;= (test!$B$34)/1440),1,0)</f>
        <v>0</v>
      </c>
      <c r="H35" s="3">
        <f>IF(AND(VLOOKUP(H$1,test!$A$3:$F$32,5,FALSE) - VLOOKUP($B35,test!$A$3:$G$32,6,FALSE) &gt;= (test!$B$34)/1440),1,0)</f>
        <v>1</v>
      </c>
      <c r="I35" s="3">
        <f>IF(AND(VLOOKUP(I$1,test!$A$3:$F$32,5,FALSE) - VLOOKUP($B35,test!$A$3:$G$32,6,FALSE) &gt;= (test!$B$34)/1440),1,0)</f>
        <v>1</v>
      </c>
      <c r="J35" s="3">
        <f>IF(AND(VLOOKUP(J$1,test!$A$3:$F$32,5,FALSE) - VLOOKUP($B35,test!$A$3:$G$32,6,FALSE) &gt;= (test!$B$34)/1440),1,0)</f>
        <v>1</v>
      </c>
      <c r="K35" s="3">
        <f>IF(AND(VLOOKUP(K$1,test!$A$3:$F$32,5,FALSE) - VLOOKUP($B35,test!$A$3:$G$32,6,FALSE) &gt;= (test!$B$34)/1440),1,0)</f>
        <v>1</v>
      </c>
      <c r="L35" s="3">
        <f>IF(AND(VLOOKUP(L$1,test!$A$3:$F$32,5,FALSE) - VLOOKUP($B35,test!$A$3:$G$32,6,FALSE) &gt;= (test!$B$34)/1440),1,0)</f>
        <v>0</v>
      </c>
      <c r="M35" s="3">
        <f>IF(AND(VLOOKUP(M$1,test!$A$3:$F$32,5,FALSE) - VLOOKUP($B35,test!$A$3:$G$32,6,FALSE) &gt;= (test!$B$34)/1440),1,0)</f>
        <v>0</v>
      </c>
      <c r="N35" s="3">
        <f>IF(AND(VLOOKUP(N$1,test!$A$3:$F$32,5,FALSE) - VLOOKUP($B35,test!$A$3:$G$32,6,FALSE) &gt;= (test!$B$34)/1440),1,0)</f>
        <v>0</v>
      </c>
      <c r="O35" s="3">
        <f>IF(AND(VLOOKUP(O$1,test!$A$3:$F$32,5,FALSE) - VLOOKUP($B35,test!$A$3:$G$32,6,FALSE) &gt;= (test!$B$34)/1440),1,0)</f>
        <v>1</v>
      </c>
      <c r="P35" s="3">
        <f>IF(AND(VLOOKUP(P$1,test!$A$3:$F$32,5,FALSE) - VLOOKUP($B35,test!$A$3:$G$32,6,FALSE) &gt;= (test!$B$34)/1440),1,0)</f>
        <v>1</v>
      </c>
      <c r="Q35" s="3">
        <f>IF(AND(VLOOKUP(Q$1,test!$A$3:$F$32,5,FALSE) - VLOOKUP($B35,test!$A$3:$G$32,6,FALSE) &gt;= (test!$B$34)/1440),1,0)</f>
        <v>0</v>
      </c>
      <c r="R35" s="3">
        <f>IF(AND(VLOOKUP(R$1,test!$A$3:$F$32,5,FALSE) - VLOOKUP($B35,test!$A$3:$G$32,6,FALSE) &gt;= (test!$B$34)/1440),1,0)</f>
        <v>0</v>
      </c>
      <c r="S35" s="3">
        <f>IF(AND(VLOOKUP(S$1,test!$A$3:$F$32,5,FALSE) - VLOOKUP($B35,test!$A$3:$G$32,6,FALSE) &gt;= (test!$B$34)/1440),1,0)</f>
        <v>0</v>
      </c>
      <c r="T35" s="3">
        <f>IF(AND(VLOOKUP(T$1,test!$A$3:$F$32,5,FALSE) - VLOOKUP($B35,test!$A$3:$G$32,6,FALSE) &gt;= (test!$B$34)/1440),1,0)</f>
        <v>0</v>
      </c>
      <c r="U35" s="3">
        <f>IF(AND(VLOOKUP(U$1,test!$A$3:$F$32,5,FALSE) - VLOOKUP($B35,test!$A$3:$G$32,6,FALSE) &gt;= (test!$B$34)/1440),1,0)</f>
        <v>0</v>
      </c>
      <c r="V35" s="3">
        <f>IF(AND(VLOOKUP(V$1,test!$A$3:$F$32,5,FALSE) - VLOOKUP($B35,test!$A$3:$G$32,6,FALSE) &gt;= (test!$B$34)/1440),1,0)</f>
        <v>0</v>
      </c>
      <c r="W35" s="3">
        <f>IF(AND(VLOOKUP(W$1,test!$A$3:$F$32,5,FALSE) - VLOOKUP($B35,test!$A$3:$G$32,6,FALSE) &gt;= (test!$B$34)/1440),1,0)</f>
        <v>1</v>
      </c>
      <c r="X35" s="3">
        <f>IF(AND(VLOOKUP(X$1,test!$A$3:$F$32,5,FALSE) - VLOOKUP($B35,test!$A$3:$G$32,6,FALSE) &gt;= (test!$B$34)/1440),1,0)</f>
        <v>1</v>
      </c>
      <c r="Y35" s="3">
        <f>IF(AND(VLOOKUP(Y$1,test!$A$3:$F$32,5,FALSE) - VLOOKUP($B35,test!$A$3:$G$32,6,FALSE) &gt;= (test!$B$34)/1440),1,0)</f>
        <v>1</v>
      </c>
      <c r="Z35" s="3">
        <f>IF(AND(VLOOKUP(Z$1,test!$A$3:$F$32,5,FALSE) - VLOOKUP($B35,test!$A$3:$G$32,6,FALSE) &gt;= (test!$B$34)/1440),1,0)</f>
        <v>0</v>
      </c>
      <c r="AA35" s="3">
        <f>IF(AND(VLOOKUP(AA$1,test!$A$3:$F$32,5,FALSE) - VLOOKUP($B35,test!$A$3:$G$32,6,FALSE) &gt;= (test!$B$34)/1440),1,0)</f>
        <v>0</v>
      </c>
      <c r="AB35" s="3">
        <f>IF(AND(VLOOKUP(AB$1,test!$A$3:$F$32,5,FALSE) - VLOOKUP($B35,test!$A$3:$G$32,6,FALSE) &gt;= (test!$B$34)/1440),1,0)</f>
        <v>0</v>
      </c>
      <c r="AC35" s="3">
        <f>IF(AND(VLOOKUP(AC$1,test!$A$3:$F$32,5,FALSE) - VLOOKUP($B35,test!$A$3:$G$32,6,FALSE) &gt;= (test!$B$34)/1440),1,0)</f>
        <v>0</v>
      </c>
      <c r="AD35" s="3">
        <f>IF(AND(VLOOKUP(AD$1,test!$A$3:$F$32,5,FALSE) - VLOOKUP($B35,test!$A$3:$G$32,6,FALSE) &gt;= (test!$B$34)/1440),1,0)</f>
        <v>1</v>
      </c>
      <c r="AE35" s="3">
        <f>IF(AND(VLOOKUP(AE$1,test!$A$3:$F$32,5,FALSE) - VLOOKUP($B35,test!$A$3:$G$32,6,FALSE) &gt;= (test!$B$34)/1440),1,0)</f>
        <v>0</v>
      </c>
      <c r="AF35" s="3">
        <f>IF(AND(VLOOKUP(AF$1,test!$A$3:$F$32,5,FALSE) - VLOOKUP($B35,test!$A$3:$G$32,6,FALSE) &gt;= (test!$B$34)/1440),1,0)</f>
        <v>0</v>
      </c>
      <c r="AG35" s="3">
        <f>IF(AND(VLOOKUP(AG$1,test!$A$3:$F$32,5,FALSE) - VLOOKUP($B35,test!$A$3:$G$32,6,FALSE) &gt;= (test!$B$34)/1440),1,0)</f>
        <v>0</v>
      </c>
    </row>
    <row r="36" spans="1:33" x14ac:dyDescent="0.25">
      <c r="A36" t="s">
        <v>59</v>
      </c>
      <c r="B36" t="s">
        <v>10</v>
      </c>
      <c r="C36">
        <v>0</v>
      </c>
      <c r="D36" s="3">
        <f>IF(AND(VLOOKUP(D$1,test!$A$3:$F$32,5,FALSE) - VLOOKUP($B36,test!$A$3:$G$32,6,FALSE) &gt;= (test!$B$34)/1440),1,0)</f>
        <v>0</v>
      </c>
      <c r="E36" s="3">
        <f>IF(AND(VLOOKUP(E$1,test!$A$3:$F$32,5,FALSE) - VLOOKUP($B36,test!$A$3:$G$32,6,FALSE) &gt;= (test!$B$34)/1440),1,0)</f>
        <v>0</v>
      </c>
      <c r="F36" s="3">
        <f>IF(AND(VLOOKUP(F$1,test!$A$3:$F$32,5,FALSE) - VLOOKUP($B36,test!$A$3:$G$32,6,FALSE) &gt;= (test!$B$34)/1440),1,0)</f>
        <v>0</v>
      </c>
      <c r="G36" s="3">
        <f>IF(AND(VLOOKUP(G$1,test!$A$3:$F$32,5,FALSE) - VLOOKUP($B36,test!$A$3:$G$32,6,FALSE) &gt;= (test!$B$34)/1440),1,0)</f>
        <v>0</v>
      </c>
      <c r="H36" s="3">
        <f>IF(AND(VLOOKUP(H$1,test!$A$3:$F$32,5,FALSE) - VLOOKUP($B36,test!$A$3:$G$32,6,FALSE) &gt;= (test!$B$34)/1440),1,0)</f>
        <v>0</v>
      </c>
      <c r="I36" s="3">
        <f>IF(AND(VLOOKUP(I$1,test!$A$3:$F$32,5,FALSE) - VLOOKUP($B36,test!$A$3:$G$32,6,FALSE) &gt;= (test!$B$34)/1440),1,0)</f>
        <v>1</v>
      </c>
      <c r="J36" s="3">
        <f>IF(AND(VLOOKUP(J$1,test!$A$3:$F$32,5,FALSE) - VLOOKUP($B36,test!$A$3:$G$32,6,FALSE) &gt;= (test!$B$34)/1440),1,0)</f>
        <v>1</v>
      </c>
      <c r="K36" s="3">
        <f>IF(AND(VLOOKUP(K$1,test!$A$3:$F$32,5,FALSE) - VLOOKUP($B36,test!$A$3:$G$32,6,FALSE) &gt;= (test!$B$34)/1440),1,0)</f>
        <v>1</v>
      </c>
      <c r="L36" s="3">
        <f>IF(AND(VLOOKUP(L$1,test!$A$3:$F$32,5,FALSE) - VLOOKUP($B36,test!$A$3:$G$32,6,FALSE) &gt;= (test!$B$34)/1440),1,0)</f>
        <v>0</v>
      </c>
      <c r="M36" s="3">
        <f>IF(AND(VLOOKUP(M$1,test!$A$3:$F$32,5,FALSE) - VLOOKUP($B36,test!$A$3:$G$32,6,FALSE) &gt;= (test!$B$34)/1440),1,0)</f>
        <v>0</v>
      </c>
      <c r="N36" s="3">
        <f>IF(AND(VLOOKUP(N$1,test!$A$3:$F$32,5,FALSE) - VLOOKUP($B36,test!$A$3:$G$32,6,FALSE) &gt;= (test!$B$34)/1440),1,0)</f>
        <v>0</v>
      </c>
      <c r="O36" s="3">
        <f>IF(AND(VLOOKUP(O$1,test!$A$3:$F$32,5,FALSE) - VLOOKUP($B36,test!$A$3:$G$32,6,FALSE) &gt;= (test!$B$34)/1440),1,0)</f>
        <v>1</v>
      </c>
      <c r="P36" s="3">
        <f>IF(AND(VLOOKUP(P$1,test!$A$3:$F$32,5,FALSE) - VLOOKUP($B36,test!$A$3:$G$32,6,FALSE) &gt;= (test!$B$34)/1440),1,0)</f>
        <v>1</v>
      </c>
      <c r="Q36" s="3">
        <f>IF(AND(VLOOKUP(Q$1,test!$A$3:$F$32,5,FALSE) - VLOOKUP($B36,test!$A$3:$G$32,6,FALSE) &gt;= (test!$B$34)/1440),1,0)</f>
        <v>0</v>
      </c>
      <c r="R36" s="3">
        <f>IF(AND(VLOOKUP(R$1,test!$A$3:$F$32,5,FALSE) - VLOOKUP($B36,test!$A$3:$G$32,6,FALSE) &gt;= (test!$B$34)/1440),1,0)</f>
        <v>0</v>
      </c>
      <c r="S36" s="3">
        <f>IF(AND(VLOOKUP(S$1,test!$A$3:$F$32,5,FALSE) - VLOOKUP($B36,test!$A$3:$G$32,6,FALSE) &gt;= (test!$B$34)/1440),1,0)</f>
        <v>0</v>
      </c>
      <c r="T36" s="3">
        <f>IF(AND(VLOOKUP(T$1,test!$A$3:$F$32,5,FALSE) - VLOOKUP($B36,test!$A$3:$G$32,6,FALSE) &gt;= (test!$B$34)/1440),1,0)</f>
        <v>0</v>
      </c>
      <c r="U36" s="3">
        <f>IF(AND(VLOOKUP(U$1,test!$A$3:$F$32,5,FALSE) - VLOOKUP($B36,test!$A$3:$G$32,6,FALSE) &gt;= (test!$B$34)/1440),1,0)</f>
        <v>0</v>
      </c>
      <c r="V36" s="3">
        <f>IF(AND(VLOOKUP(V$1,test!$A$3:$F$32,5,FALSE) - VLOOKUP($B36,test!$A$3:$G$32,6,FALSE) &gt;= (test!$B$34)/1440),1,0)</f>
        <v>0</v>
      </c>
      <c r="W36" s="3">
        <f>IF(AND(VLOOKUP(W$1,test!$A$3:$F$32,5,FALSE) - VLOOKUP($B36,test!$A$3:$G$32,6,FALSE) &gt;= (test!$B$34)/1440),1,0)</f>
        <v>0</v>
      </c>
      <c r="X36" s="3">
        <f>IF(AND(VLOOKUP(X$1,test!$A$3:$F$32,5,FALSE) - VLOOKUP($B36,test!$A$3:$G$32,6,FALSE) &gt;= (test!$B$34)/1440),1,0)</f>
        <v>1</v>
      </c>
      <c r="Y36" s="3">
        <f>IF(AND(VLOOKUP(Y$1,test!$A$3:$F$32,5,FALSE) - VLOOKUP($B36,test!$A$3:$G$32,6,FALSE) &gt;= (test!$B$34)/1440),1,0)</f>
        <v>1</v>
      </c>
      <c r="Z36" s="3">
        <f>IF(AND(VLOOKUP(Z$1,test!$A$3:$F$32,5,FALSE) - VLOOKUP($B36,test!$A$3:$G$32,6,FALSE) &gt;= (test!$B$34)/1440),1,0)</f>
        <v>0</v>
      </c>
      <c r="AA36" s="3">
        <f>IF(AND(VLOOKUP(AA$1,test!$A$3:$F$32,5,FALSE) - VLOOKUP($B36,test!$A$3:$G$32,6,FALSE) &gt;= (test!$B$34)/1440),1,0)</f>
        <v>0</v>
      </c>
      <c r="AB36" s="3">
        <f>IF(AND(VLOOKUP(AB$1,test!$A$3:$F$32,5,FALSE) - VLOOKUP($B36,test!$A$3:$G$32,6,FALSE) &gt;= (test!$B$34)/1440),1,0)</f>
        <v>0</v>
      </c>
      <c r="AC36" s="3">
        <f>IF(AND(VLOOKUP(AC$1,test!$A$3:$F$32,5,FALSE) - VLOOKUP($B36,test!$A$3:$G$32,6,FALSE) &gt;= (test!$B$34)/1440),1,0)</f>
        <v>0</v>
      </c>
      <c r="AD36" s="3">
        <f>IF(AND(VLOOKUP(AD$1,test!$A$3:$F$32,5,FALSE) - VLOOKUP($B36,test!$A$3:$G$32,6,FALSE) &gt;= (test!$B$34)/1440),1,0)</f>
        <v>1</v>
      </c>
      <c r="AE36" s="3">
        <f>IF(AND(VLOOKUP(AE$1,test!$A$3:$F$32,5,FALSE) - VLOOKUP($B36,test!$A$3:$G$32,6,FALSE) &gt;= (test!$B$34)/1440),1,0)</f>
        <v>0</v>
      </c>
      <c r="AF36" s="3">
        <f>IF(AND(VLOOKUP(AF$1,test!$A$3:$F$32,5,FALSE) - VLOOKUP($B36,test!$A$3:$G$32,6,FALSE) &gt;= (test!$B$34)/1440),1,0)</f>
        <v>0</v>
      </c>
      <c r="AG36" s="3">
        <f>IF(AND(VLOOKUP(AG$1,test!$A$3:$F$32,5,FALSE) - VLOOKUP($B36,test!$A$3:$G$32,6,FALSE) &gt;= (test!$B$34)/1440),1,0)</f>
        <v>0</v>
      </c>
    </row>
    <row r="37" spans="1:33" x14ac:dyDescent="0.25">
      <c r="A37" t="s">
        <v>59</v>
      </c>
      <c r="B37" t="s">
        <v>11</v>
      </c>
      <c r="C37">
        <v>0</v>
      </c>
      <c r="D37" s="3">
        <f>IF(AND(VLOOKUP(D$1,test!$A$3:$F$32,5,FALSE) - VLOOKUP($B37,test!$A$3:$G$32,6,FALSE) &gt;= (test!$B$34)/1440),1,0)</f>
        <v>0</v>
      </c>
      <c r="E37" s="3">
        <f>IF(AND(VLOOKUP(E$1,test!$A$3:$F$32,5,FALSE) - VLOOKUP($B37,test!$A$3:$G$32,6,FALSE) &gt;= (test!$B$34)/1440),1,0)</f>
        <v>0</v>
      </c>
      <c r="F37" s="3">
        <f>IF(AND(VLOOKUP(F$1,test!$A$3:$F$32,5,FALSE) - VLOOKUP($B37,test!$A$3:$G$32,6,FALSE) &gt;= (test!$B$34)/1440),1,0)</f>
        <v>0</v>
      </c>
      <c r="G37" s="3">
        <f>IF(AND(VLOOKUP(G$1,test!$A$3:$F$32,5,FALSE) - VLOOKUP($B37,test!$A$3:$G$32,6,FALSE) &gt;= (test!$B$34)/1440),1,0)</f>
        <v>0</v>
      </c>
      <c r="H37" s="3">
        <f>IF(AND(VLOOKUP(H$1,test!$A$3:$F$32,5,FALSE) - VLOOKUP($B37,test!$A$3:$G$32,6,FALSE) &gt;= (test!$B$34)/1440),1,0)</f>
        <v>0</v>
      </c>
      <c r="I37" s="3">
        <f>IF(AND(VLOOKUP(I$1,test!$A$3:$F$32,5,FALSE) - VLOOKUP($B37,test!$A$3:$G$32,6,FALSE) &gt;= (test!$B$34)/1440),1,0)</f>
        <v>0</v>
      </c>
      <c r="J37" s="3">
        <f>IF(AND(VLOOKUP(J$1,test!$A$3:$F$32,5,FALSE) - VLOOKUP($B37,test!$A$3:$G$32,6,FALSE) &gt;= (test!$B$34)/1440),1,0)</f>
        <v>0</v>
      </c>
      <c r="K37" s="3">
        <f>IF(AND(VLOOKUP(K$1,test!$A$3:$F$32,5,FALSE) - VLOOKUP($B37,test!$A$3:$G$32,6,FALSE) &gt;= (test!$B$34)/1440),1,0)</f>
        <v>1</v>
      </c>
      <c r="L37" s="3">
        <f>IF(AND(VLOOKUP(L$1,test!$A$3:$F$32,5,FALSE) - VLOOKUP($B37,test!$A$3:$G$32,6,FALSE) &gt;= (test!$B$34)/1440),1,0)</f>
        <v>0</v>
      </c>
      <c r="M37" s="3">
        <f>IF(AND(VLOOKUP(M$1,test!$A$3:$F$32,5,FALSE) - VLOOKUP($B37,test!$A$3:$G$32,6,FALSE) &gt;= (test!$B$34)/1440),1,0)</f>
        <v>0</v>
      </c>
      <c r="N37" s="3">
        <f>IF(AND(VLOOKUP(N$1,test!$A$3:$F$32,5,FALSE) - VLOOKUP($B37,test!$A$3:$G$32,6,FALSE) &gt;= (test!$B$34)/1440),1,0)</f>
        <v>0</v>
      </c>
      <c r="O37" s="3">
        <f>IF(AND(VLOOKUP(O$1,test!$A$3:$F$32,5,FALSE) - VLOOKUP($B37,test!$A$3:$G$32,6,FALSE) &gt;= (test!$B$34)/1440),1,0)</f>
        <v>1</v>
      </c>
      <c r="P37" s="3">
        <f>IF(AND(VLOOKUP(P$1,test!$A$3:$F$32,5,FALSE) - VLOOKUP($B37,test!$A$3:$G$32,6,FALSE) &gt;= (test!$B$34)/1440),1,0)</f>
        <v>1</v>
      </c>
      <c r="Q37" s="3">
        <f>IF(AND(VLOOKUP(Q$1,test!$A$3:$F$32,5,FALSE) - VLOOKUP($B37,test!$A$3:$G$32,6,FALSE) &gt;= (test!$B$34)/1440),1,0)</f>
        <v>0</v>
      </c>
      <c r="R37" s="3">
        <f>IF(AND(VLOOKUP(R$1,test!$A$3:$F$32,5,FALSE) - VLOOKUP($B37,test!$A$3:$G$32,6,FALSE) &gt;= (test!$B$34)/1440),1,0)</f>
        <v>0</v>
      </c>
      <c r="S37" s="3">
        <f>IF(AND(VLOOKUP(S$1,test!$A$3:$F$32,5,FALSE) - VLOOKUP($B37,test!$A$3:$G$32,6,FALSE) &gt;= (test!$B$34)/1440),1,0)</f>
        <v>0</v>
      </c>
      <c r="T37" s="3">
        <f>IF(AND(VLOOKUP(T$1,test!$A$3:$F$32,5,FALSE) - VLOOKUP($B37,test!$A$3:$G$32,6,FALSE) &gt;= (test!$B$34)/1440),1,0)</f>
        <v>0</v>
      </c>
      <c r="U37" s="3">
        <f>IF(AND(VLOOKUP(U$1,test!$A$3:$F$32,5,FALSE) - VLOOKUP($B37,test!$A$3:$G$32,6,FALSE) &gt;= (test!$B$34)/1440),1,0)</f>
        <v>0</v>
      </c>
      <c r="V37" s="3">
        <f>IF(AND(VLOOKUP(V$1,test!$A$3:$F$32,5,FALSE) - VLOOKUP($B37,test!$A$3:$G$32,6,FALSE) &gt;= (test!$B$34)/1440),1,0)</f>
        <v>0</v>
      </c>
      <c r="W37" s="3">
        <f>IF(AND(VLOOKUP(W$1,test!$A$3:$F$32,5,FALSE) - VLOOKUP($B37,test!$A$3:$G$32,6,FALSE) &gt;= (test!$B$34)/1440),1,0)</f>
        <v>0</v>
      </c>
      <c r="X37" s="3">
        <f>IF(AND(VLOOKUP(X$1,test!$A$3:$F$32,5,FALSE) - VLOOKUP($B37,test!$A$3:$G$32,6,FALSE) &gt;= (test!$B$34)/1440),1,0)</f>
        <v>0</v>
      </c>
      <c r="Y37" s="3">
        <f>IF(AND(VLOOKUP(Y$1,test!$A$3:$F$32,5,FALSE) - VLOOKUP($B37,test!$A$3:$G$32,6,FALSE) &gt;= (test!$B$34)/1440),1,0)</f>
        <v>1</v>
      </c>
      <c r="Z37" s="3">
        <f>IF(AND(VLOOKUP(Z$1,test!$A$3:$F$32,5,FALSE) - VLOOKUP($B37,test!$A$3:$G$32,6,FALSE) &gt;= (test!$B$34)/1440),1,0)</f>
        <v>0</v>
      </c>
      <c r="AA37" s="3">
        <f>IF(AND(VLOOKUP(AA$1,test!$A$3:$F$32,5,FALSE) - VLOOKUP($B37,test!$A$3:$G$32,6,FALSE) &gt;= (test!$B$34)/1440),1,0)</f>
        <v>0</v>
      </c>
      <c r="AB37" s="3">
        <f>IF(AND(VLOOKUP(AB$1,test!$A$3:$F$32,5,FALSE) - VLOOKUP($B37,test!$A$3:$G$32,6,FALSE) &gt;= (test!$B$34)/1440),1,0)</f>
        <v>0</v>
      </c>
      <c r="AC37" s="3">
        <f>IF(AND(VLOOKUP(AC$1,test!$A$3:$F$32,5,FALSE) - VLOOKUP($B37,test!$A$3:$G$32,6,FALSE) &gt;= (test!$B$34)/1440),1,0)</f>
        <v>0</v>
      </c>
      <c r="AD37" s="3">
        <f>IF(AND(VLOOKUP(AD$1,test!$A$3:$F$32,5,FALSE) - VLOOKUP($B37,test!$A$3:$G$32,6,FALSE) &gt;= (test!$B$34)/1440),1,0)</f>
        <v>0</v>
      </c>
      <c r="AE37" s="3">
        <f>IF(AND(VLOOKUP(AE$1,test!$A$3:$F$32,5,FALSE) - VLOOKUP($B37,test!$A$3:$G$32,6,FALSE) &gt;= (test!$B$34)/1440),1,0)</f>
        <v>0</v>
      </c>
      <c r="AF37" s="3">
        <f>IF(AND(VLOOKUP(AF$1,test!$A$3:$F$32,5,FALSE) - VLOOKUP($B37,test!$A$3:$G$32,6,FALSE) &gt;= (test!$B$34)/1440),1,0)</f>
        <v>0</v>
      </c>
      <c r="AG37" s="3">
        <f>IF(AND(VLOOKUP(AG$1,test!$A$3:$F$32,5,FALSE) - VLOOKUP($B37,test!$A$3:$G$32,6,FALSE) &gt;= (test!$B$34)/1440),1,0)</f>
        <v>0</v>
      </c>
    </row>
    <row r="38" spans="1:33" x14ac:dyDescent="0.25">
      <c r="A38" t="s">
        <v>59</v>
      </c>
      <c r="B38" t="s">
        <v>12</v>
      </c>
      <c r="C38">
        <v>0</v>
      </c>
      <c r="D38" s="3">
        <f>IF(AND(VLOOKUP(D$1,test!$A$3:$F$32,5,FALSE) - VLOOKUP($B38,test!$A$3:$G$32,6,FALSE) &gt;= (test!$B$34)/1440),1,0)</f>
        <v>0</v>
      </c>
      <c r="E38" s="3">
        <f>IF(AND(VLOOKUP(E$1,test!$A$3:$F$32,5,FALSE) - VLOOKUP($B38,test!$A$3:$G$32,6,FALSE) &gt;= (test!$B$34)/1440),1,0)</f>
        <v>0</v>
      </c>
      <c r="F38" s="3">
        <f>IF(AND(VLOOKUP(F$1,test!$A$3:$F$32,5,FALSE) - VLOOKUP($B38,test!$A$3:$G$32,6,FALSE) &gt;= (test!$B$34)/1440),1,0)</f>
        <v>0</v>
      </c>
      <c r="G38" s="3">
        <f>IF(AND(VLOOKUP(G$1,test!$A$3:$F$32,5,FALSE) - VLOOKUP($B38,test!$A$3:$G$32,6,FALSE) &gt;= (test!$B$34)/1440),1,0)</f>
        <v>0</v>
      </c>
      <c r="H38" s="3">
        <f>IF(AND(VLOOKUP(H$1,test!$A$3:$F$32,5,FALSE) - VLOOKUP($B38,test!$A$3:$G$32,6,FALSE) &gt;= (test!$B$34)/1440),1,0)</f>
        <v>0</v>
      </c>
      <c r="I38" s="3">
        <f>IF(AND(VLOOKUP(I$1,test!$A$3:$F$32,5,FALSE) - VLOOKUP($B38,test!$A$3:$G$32,6,FALSE) &gt;= (test!$B$34)/1440),1,0)</f>
        <v>0</v>
      </c>
      <c r="J38" s="3">
        <f>IF(AND(VLOOKUP(J$1,test!$A$3:$F$32,5,FALSE) - VLOOKUP($B38,test!$A$3:$G$32,6,FALSE) &gt;= (test!$B$34)/1440),1,0)</f>
        <v>0</v>
      </c>
      <c r="K38" s="3">
        <f>IF(AND(VLOOKUP(K$1,test!$A$3:$F$32,5,FALSE) - VLOOKUP($B38,test!$A$3:$G$32,6,FALSE) &gt;= (test!$B$34)/1440),1,0)</f>
        <v>1</v>
      </c>
      <c r="L38" s="3">
        <f>IF(AND(VLOOKUP(L$1,test!$A$3:$F$32,5,FALSE) - VLOOKUP($B38,test!$A$3:$G$32,6,FALSE) &gt;= (test!$B$34)/1440),1,0)</f>
        <v>0</v>
      </c>
      <c r="M38" s="3">
        <f>IF(AND(VLOOKUP(M$1,test!$A$3:$F$32,5,FALSE) - VLOOKUP($B38,test!$A$3:$G$32,6,FALSE) &gt;= (test!$B$34)/1440),1,0)</f>
        <v>0</v>
      </c>
      <c r="N38" s="3">
        <f>IF(AND(VLOOKUP(N$1,test!$A$3:$F$32,5,FALSE) - VLOOKUP($B38,test!$A$3:$G$32,6,FALSE) &gt;= (test!$B$34)/1440),1,0)</f>
        <v>0</v>
      </c>
      <c r="O38" s="3">
        <f>IF(AND(VLOOKUP(O$1,test!$A$3:$F$32,5,FALSE) - VLOOKUP($B38,test!$A$3:$G$32,6,FALSE) &gt;= (test!$B$34)/1440),1,0)</f>
        <v>0</v>
      </c>
      <c r="P38" s="3">
        <f>IF(AND(VLOOKUP(P$1,test!$A$3:$F$32,5,FALSE) - VLOOKUP($B38,test!$A$3:$G$32,6,FALSE) &gt;= (test!$B$34)/1440),1,0)</f>
        <v>1</v>
      </c>
      <c r="Q38" s="3">
        <f>IF(AND(VLOOKUP(Q$1,test!$A$3:$F$32,5,FALSE) - VLOOKUP($B38,test!$A$3:$G$32,6,FALSE) &gt;= (test!$B$34)/1440),1,0)</f>
        <v>0</v>
      </c>
      <c r="R38" s="3">
        <f>IF(AND(VLOOKUP(R$1,test!$A$3:$F$32,5,FALSE) - VLOOKUP($B38,test!$A$3:$G$32,6,FALSE) &gt;= (test!$B$34)/1440),1,0)</f>
        <v>0</v>
      </c>
      <c r="S38" s="3">
        <f>IF(AND(VLOOKUP(S$1,test!$A$3:$F$32,5,FALSE) - VLOOKUP($B38,test!$A$3:$G$32,6,FALSE) &gt;= (test!$B$34)/1440),1,0)</f>
        <v>0</v>
      </c>
      <c r="T38" s="3">
        <f>IF(AND(VLOOKUP(T$1,test!$A$3:$F$32,5,FALSE) - VLOOKUP($B38,test!$A$3:$G$32,6,FALSE) &gt;= (test!$B$34)/1440),1,0)</f>
        <v>0</v>
      </c>
      <c r="U38" s="3">
        <f>IF(AND(VLOOKUP(U$1,test!$A$3:$F$32,5,FALSE) - VLOOKUP($B38,test!$A$3:$G$32,6,FALSE) &gt;= (test!$B$34)/1440),1,0)</f>
        <v>0</v>
      </c>
      <c r="V38" s="3">
        <f>IF(AND(VLOOKUP(V$1,test!$A$3:$F$32,5,FALSE) - VLOOKUP($B38,test!$A$3:$G$32,6,FALSE) &gt;= (test!$B$34)/1440),1,0)</f>
        <v>0</v>
      </c>
      <c r="W38" s="3">
        <f>IF(AND(VLOOKUP(W$1,test!$A$3:$F$32,5,FALSE) - VLOOKUP($B38,test!$A$3:$G$32,6,FALSE) &gt;= (test!$B$34)/1440),1,0)</f>
        <v>0</v>
      </c>
      <c r="X38" s="3">
        <f>IF(AND(VLOOKUP(X$1,test!$A$3:$F$32,5,FALSE) - VLOOKUP($B38,test!$A$3:$G$32,6,FALSE) &gt;= (test!$B$34)/1440),1,0)</f>
        <v>0</v>
      </c>
      <c r="Y38" s="3">
        <f>IF(AND(VLOOKUP(Y$1,test!$A$3:$F$32,5,FALSE) - VLOOKUP($B38,test!$A$3:$G$32,6,FALSE) &gt;= (test!$B$34)/1440),1,0)</f>
        <v>0</v>
      </c>
      <c r="Z38" s="3">
        <f>IF(AND(VLOOKUP(Z$1,test!$A$3:$F$32,5,FALSE) - VLOOKUP($B38,test!$A$3:$G$32,6,FALSE) &gt;= (test!$B$34)/1440),1,0)</f>
        <v>0</v>
      </c>
      <c r="AA38" s="3">
        <f>IF(AND(VLOOKUP(AA$1,test!$A$3:$F$32,5,FALSE) - VLOOKUP($B38,test!$A$3:$G$32,6,FALSE) &gt;= (test!$B$34)/1440),1,0)</f>
        <v>0</v>
      </c>
      <c r="AB38" s="3">
        <f>IF(AND(VLOOKUP(AB$1,test!$A$3:$F$32,5,FALSE) - VLOOKUP($B38,test!$A$3:$G$32,6,FALSE) &gt;= (test!$B$34)/1440),1,0)</f>
        <v>0</v>
      </c>
      <c r="AC38" s="3">
        <f>IF(AND(VLOOKUP(AC$1,test!$A$3:$F$32,5,FALSE) - VLOOKUP($B38,test!$A$3:$G$32,6,FALSE) &gt;= (test!$B$34)/1440),1,0)</f>
        <v>0</v>
      </c>
      <c r="AD38" s="3">
        <f>IF(AND(VLOOKUP(AD$1,test!$A$3:$F$32,5,FALSE) - VLOOKUP($B38,test!$A$3:$G$32,6,FALSE) &gt;= (test!$B$34)/1440),1,0)</f>
        <v>0</v>
      </c>
      <c r="AE38" s="3">
        <f>IF(AND(VLOOKUP(AE$1,test!$A$3:$F$32,5,FALSE) - VLOOKUP($B38,test!$A$3:$G$32,6,FALSE) &gt;= (test!$B$34)/1440),1,0)</f>
        <v>0</v>
      </c>
      <c r="AF38" s="3">
        <f>IF(AND(VLOOKUP(AF$1,test!$A$3:$F$32,5,FALSE) - VLOOKUP($B38,test!$A$3:$G$32,6,FALSE) &gt;= (test!$B$34)/1440),1,0)</f>
        <v>0</v>
      </c>
      <c r="AG38" s="3">
        <f>IF(AND(VLOOKUP(AG$1,test!$A$3:$F$32,5,FALSE) - VLOOKUP($B38,test!$A$3:$G$32,6,FALSE) &gt;= (test!$B$34)/1440),1,0)</f>
        <v>0</v>
      </c>
    </row>
    <row r="39" spans="1:33" x14ac:dyDescent="0.25">
      <c r="A39" t="s">
        <v>59</v>
      </c>
      <c r="B39" t="s">
        <v>13</v>
      </c>
      <c r="C39">
        <v>0</v>
      </c>
      <c r="D39" s="3">
        <f>IF(AND(VLOOKUP(D$1,test!$A$3:$F$32,5,FALSE) - VLOOKUP($B39,test!$A$3:$G$32,6,FALSE) &gt;= (test!$B$34)/1440),1,0)</f>
        <v>0</v>
      </c>
      <c r="E39" s="3">
        <f>IF(AND(VLOOKUP(E$1,test!$A$3:$F$32,5,FALSE) - VLOOKUP($B39,test!$A$3:$G$32,6,FALSE) &gt;= (test!$B$34)/1440),1,0)</f>
        <v>0</v>
      </c>
      <c r="F39" s="3">
        <f>IF(AND(VLOOKUP(F$1,test!$A$3:$F$32,5,FALSE) - VLOOKUP($B39,test!$A$3:$G$32,6,FALSE) &gt;= (test!$B$34)/1440),1,0)</f>
        <v>0</v>
      </c>
      <c r="G39" s="3">
        <f>IF(AND(VLOOKUP(G$1,test!$A$3:$F$32,5,FALSE) - VLOOKUP($B39,test!$A$3:$G$32,6,FALSE) &gt;= (test!$B$34)/1440),1,0)</f>
        <v>0</v>
      </c>
      <c r="H39" s="3">
        <f>IF(AND(VLOOKUP(H$1,test!$A$3:$F$32,5,FALSE) - VLOOKUP($B39,test!$A$3:$G$32,6,FALSE) &gt;= (test!$B$34)/1440),1,0)</f>
        <v>0</v>
      </c>
      <c r="I39" s="3">
        <f>IF(AND(VLOOKUP(I$1,test!$A$3:$F$32,5,FALSE) - VLOOKUP($B39,test!$A$3:$G$32,6,FALSE) &gt;= (test!$B$34)/1440),1,0)</f>
        <v>0</v>
      </c>
      <c r="J39" s="3">
        <f>IF(AND(VLOOKUP(J$1,test!$A$3:$F$32,5,FALSE) - VLOOKUP($B39,test!$A$3:$G$32,6,FALSE) &gt;= (test!$B$34)/1440),1,0)</f>
        <v>0</v>
      </c>
      <c r="K39" s="3">
        <f>IF(AND(VLOOKUP(K$1,test!$A$3:$F$32,5,FALSE) - VLOOKUP($B39,test!$A$3:$G$32,6,FALSE) &gt;= (test!$B$34)/1440),1,0)</f>
        <v>0</v>
      </c>
      <c r="L39" s="3">
        <f>IF(AND(VLOOKUP(L$1,test!$A$3:$F$32,5,FALSE) - VLOOKUP($B39,test!$A$3:$G$32,6,FALSE) &gt;= (test!$B$34)/1440),1,0)</f>
        <v>0</v>
      </c>
      <c r="M39" s="3">
        <f>IF(AND(VLOOKUP(M$1,test!$A$3:$F$32,5,FALSE) - VLOOKUP($B39,test!$A$3:$G$32,6,FALSE) &gt;= (test!$B$34)/1440),1,0)</f>
        <v>0</v>
      </c>
      <c r="N39" s="3">
        <f>IF(AND(VLOOKUP(N$1,test!$A$3:$F$32,5,FALSE) - VLOOKUP($B39,test!$A$3:$G$32,6,FALSE) &gt;= (test!$B$34)/1440),1,0)</f>
        <v>0</v>
      </c>
      <c r="O39" s="3">
        <f>IF(AND(VLOOKUP(O$1,test!$A$3:$F$32,5,FALSE) - VLOOKUP($B39,test!$A$3:$G$32,6,FALSE) &gt;= (test!$B$34)/1440),1,0)</f>
        <v>0</v>
      </c>
      <c r="P39" s="3">
        <f>IF(AND(VLOOKUP(P$1,test!$A$3:$F$32,5,FALSE) - VLOOKUP($B39,test!$A$3:$G$32,6,FALSE) &gt;= (test!$B$34)/1440),1,0)</f>
        <v>0</v>
      </c>
      <c r="Q39" s="3">
        <f>IF(AND(VLOOKUP(Q$1,test!$A$3:$F$32,5,FALSE) - VLOOKUP($B39,test!$A$3:$G$32,6,FALSE) &gt;= (test!$B$34)/1440),1,0)</f>
        <v>0</v>
      </c>
      <c r="R39" s="3">
        <f>IF(AND(VLOOKUP(R$1,test!$A$3:$F$32,5,FALSE) - VLOOKUP($B39,test!$A$3:$G$32,6,FALSE) &gt;= (test!$B$34)/1440),1,0)</f>
        <v>0</v>
      </c>
      <c r="S39" s="3">
        <f>IF(AND(VLOOKUP(S$1,test!$A$3:$F$32,5,FALSE) - VLOOKUP($B39,test!$A$3:$G$32,6,FALSE) &gt;= (test!$B$34)/1440),1,0)</f>
        <v>0</v>
      </c>
      <c r="T39" s="3">
        <f>IF(AND(VLOOKUP(T$1,test!$A$3:$F$32,5,FALSE) - VLOOKUP($B39,test!$A$3:$G$32,6,FALSE) &gt;= (test!$B$34)/1440),1,0)</f>
        <v>0</v>
      </c>
      <c r="U39" s="3">
        <f>IF(AND(VLOOKUP(U$1,test!$A$3:$F$32,5,FALSE) - VLOOKUP($B39,test!$A$3:$G$32,6,FALSE) &gt;= (test!$B$34)/1440),1,0)</f>
        <v>0</v>
      </c>
      <c r="V39" s="3">
        <f>IF(AND(VLOOKUP(V$1,test!$A$3:$F$32,5,FALSE) - VLOOKUP($B39,test!$A$3:$G$32,6,FALSE) &gt;= (test!$B$34)/1440),1,0)</f>
        <v>0</v>
      </c>
      <c r="W39" s="3">
        <f>IF(AND(VLOOKUP(W$1,test!$A$3:$F$32,5,FALSE) - VLOOKUP($B39,test!$A$3:$G$32,6,FALSE) &gt;= (test!$B$34)/1440),1,0)</f>
        <v>0</v>
      </c>
      <c r="X39" s="3">
        <f>IF(AND(VLOOKUP(X$1,test!$A$3:$F$32,5,FALSE) - VLOOKUP($B39,test!$A$3:$G$32,6,FALSE) &gt;= (test!$B$34)/1440),1,0)</f>
        <v>0</v>
      </c>
      <c r="Y39" s="3">
        <f>IF(AND(VLOOKUP(Y$1,test!$A$3:$F$32,5,FALSE) - VLOOKUP($B39,test!$A$3:$G$32,6,FALSE) &gt;= (test!$B$34)/1440),1,0)</f>
        <v>0</v>
      </c>
      <c r="Z39" s="3">
        <f>IF(AND(VLOOKUP(Z$1,test!$A$3:$F$32,5,FALSE) - VLOOKUP($B39,test!$A$3:$G$32,6,FALSE) &gt;= (test!$B$34)/1440),1,0)</f>
        <v>0</v>
      </c>
      <c r="AA39" s="3">
        <f>IF(AND(VLOOKUP(AA$1,test!$A$3:$F$32,5,FALSE) - VLOOKUP($B39,test!$A$3:$G$32,6,FALSE) &gt;= (test!$B$34)/1440),1,0)</f>
        <v>0</v>
      </c>
      <c r="AB39" s="3">
        <f>IF(AND(VLOOKUP(AB$1,test!$A$3:$F$32,5,FALSE) - VLOOKUP($B39,test!$A$3:$G$32,6,FALSE) &gt;= (test!$B$34)/1440),1,0)</f>
        <v>0</v>
      </c>
      <c r="AC39" s="3">
        <f>IF(AND(VLOOKUP(AC$1,test!$A$3:$F$32,5,FALSE) - VLOOKUP($B39,test!$A$3:$G$32,6,FALSE) &gt;= (test!$B$34)/1440),1,0)</f>
        <v>0</v>
      </c>
      <c r="AD39" s="3">
        <f>IF(AND(VLOOKUP(AD$1,test!$A$3:$F$32,5,FALSE) - VLOOKUP($B39,test!$A$3:$G$32,6,FALSE) &gt;= (test!$B$34)/1440),1,0)</f>
        <v>0</v>
      </c>
      <c r="AE39" s="3">
        <f>IF(AND(VLOOKUP(AE$1,test!$A$3:$F$32,5,FALSE) - VLOOKUP($B39,test!$A$3:$G$32,6,FALSE) &gt;= (test!$B$34)/1440),1,0)</f>
        <v>0</v>
      </c>
      <c r="AF39" s="3">
        <f>IF(AND(VLOOKUP(AF$1,test!$A$3:$F$32,5,FALSE) - VLOOKUP($B39,test!$A$3:$G$32,6,FALSE) &gt;= (test!$B$34)/1440),1,0)</f>
        <v>0</v>
      </c>
      <c r="AG39" s="3">
        <f>IF(AND(VLOOKUP(AG$1,test!$A$3:$F$32,5,FALSE) - VLOOKUP($B39,test!$A$3:$G$32,6,FALSE) &gt;= (test!$B$34)/1440),1,0)</f>
        <v>0</v>
      </c>
    </row>
    <row r="40" spans="1:33" x14ac:dyDescent="0.25">
      <c r="A40" t="s">
        <v>59</v>
      </c>
      <c r="B40" t="s">
        <v>14</v>
      </c>
      <c r="C40">
        <v>0</v>
      </c>
      <c r="D40" s="3">
        <f>IF(AND(VLOOKUP(D$1,test!$A$3:$F$32,5,FALSE) - VLOOKUP($B40,test!$A$3:$G$32,6,FALSE) &gt;= (test!$B$34)/1440),1,0)</f>
        <v>0</v>
      </c>
      <c r="E40" s="3">
        <f>IF(AND(VLOOKUP(E$1,test!$A$3:$F$32,5,FALSE) - VLOOKUP($B40,test!$A$3:$G$32,6,FALSE) &gt;= (test!$B$34)/1440),1,0)</f>
        <v>0</v>
      </c>
      <c r="F40" s="3">
        <f>IF(AND(VLOOKUP(F$1,test!$A$3:$F$32,5,FALSE) - VLOOKUP($B40,test!$A$3:$G$32,6,FALSE) &gt;= (test!$B$34)/1440),1,0)</f>
        <v>0</v>
      </c>
      <c r="G40" s="3">
        <f>IF(AND(VLOOKUP(G$1,test!$A$3:$F$32,5,FALSE) - VLOOKUP($B40,test!$A$3:$G$32,6,FALSE) &gt;= (test!$B$34)/1440),1,0)</f>
        <v>0</v>
      </c>
      <c r="H40" s="3">
        <f>IF(AND(VLOOKUP(H$1,test!$A$3:$F$32,5,FALSE) - VLOOKUP($B40,test!$A$3:$G$32,6,FALSE) &gt;= (test!$B$34)/1440),1,0)</f>
        <v>0</v>
      </c>
      <c r="I40" s="3">
        <f>IF(AND(VLOOKUP(I$1,test!$A$3:$F$32,5,FALSE) - VLOOKUP($B40,test!$A$3:$G$32,6,FALSE) &gt;= (test!$B$34)/1440),1,0)</f>
        <v>0</v>
      </c>
      <c r="J40" s="3">
        <f>IF(AND(VLOOKUP(J$1,test!$A$3:$F$32,5,FALSE) - VLOOKUP($B40,test!$A$3:$G$32,6,FALSE) &gt;= (test!$B$34)/1440),1,0)</f>
        <v>0</v>
      </c>
      <c r="K40" s="3">
        <f>IF(AND(VLOOKUP(K$1,test!$A$3:$F$32,5,FALSE) - VLOOKUP($B40,test!$A$3:$G$32,6,FALSE) &gt;= (test!$B$34)/1440),1,0)</f>
        <v>0</v>
      </c>
      <c r="L40" s="3">
        <f>IF(AND(VLOOKUP(L$1,test!$A$3:$F$32,5,FALSE) - VLOOKUP($B40,test!$A$3:$G$32,6,FALSE) &gt;= (test!$B$34)/1440),1,0)</f>
        <v>0</v>
      </c>
      <c r="M40" s="3">
        <f>IF(AND(VLOOKUP(M$1,test!$A$3:$F$32,5,FALSE) - VLOOKUP($B40,test!$A$3:$G$32,6,FALSE) &gt;= (test!$B$34)/1440),1,0)</f>
        <v>0</v>
      </c>
      <c r="N40" s="3">
        <f>IF(AND(VLOOKUP(N$1,test!$A$3:$F$32,5,FALSE) - VLOOKUP($B40,test!$A$3:$G$32,6,FALSE) &gt;= (test!$B$34)/1440),1,0)</f>
        <v>0</v>
      </c>
      <c r="O40" s="3">
        <f>IF(AND(VLOOKUP(O$1,test!$A$3:$F$32,5,FALSE) - VLOOKUP($B40,test!$A$3:$G$32,6,FALSE) &gt;= (test!$B$34)/1440),1,0)</f>
        <v>0</v>
      </c>
      <c r="P40" s="3">
        <f>IF(AND(VLOOKUP(P$1,test!$A$3:$F$32,5,FALSE) - VLOOKUP($B40,test!$A$3:$G$32,6,FALSE) &gt;= (test!$B$34)/1440),1,0)</f>
        <v>0</v>
      </c>
      <c r="Q40" s="3">
        <f>IF(AND(VLOOKUP(Q$1,test!$A$3:$F$32,5,FALSE) - VLOOKUP($B40,test!$A$3:$G$32,6,FALSE) &gt;= (test!$B$34)/1440),1,0)</f>
        <v>0</v>
      </c>
      <c r="R40" s="3">
        <f>IF(AND(VLOOKUP(R$1,test!$A$3:$F$32,5,FALSE) - VLOOKUP($B40,test!$A$3:$G$32,6,FALSE) &gt;= (test!$B$34)/1440),1,0)</f>
        <v>0</v>
      </c>
      <c r="S40" s="3">
        <f>IF(AND(VLOOKUP(S$1,test!$A$3:$F$32,5,FALSE) - VLOOKUP($B40,test!$A$3:$G$32,6,FALSE) &gt;= (test!$B$34)/1440),1,0)</f>
        <v>0</v>
      </c>
      <c r="T40" s="3">
        <f>IF(AND(VLOOKUP(T$1,test!$A$3:$F$32,5,FALSE) - VLOOKUP($B40,test!$A$3:$G$32,6,FALSE) &gt;= (test!$B$34)/1440),1,0)</f>
        <v>0</v>
      </c>
      <c r="U40" s="3">
        <f>IF(AND(VLOOKUP(U$1,test!$A$3:$F$32,5,FALSE) - VLOOKUP($B40,test!$A$3:$G$32,6,FALSE) &gt;= (test!$B$34)/1440),1,0)</f>
        <v>0</v>
      </c>
      <c r="V40" s="3">
        <f>IF(AND(VLOOKUP(V$1,test!$A$3:$F$32,5,FALSE) - VLOOKUP($B40,test!$A$3:$G$32,6,FALSE) &gt;= (test!$B$34)/1440),1,0)</f>
        <v>0</v>
      </c>
      <c r="W40" s="3">
        <f>IF(AND(VLOOKUP(W$1,test!$A$3:$F$32,5,FALSE) - VLOOKUP($B40,test!$A$3:$G$32,6,FALSE) &gt;= (test!$B$34)/1440),1,0)</f>
        <v>0</v>
      </c>
      <c r="X40" s="3">
        <f>IF(AND(VLOOKUP(X$1,test!$A$3:$F$32,5,FALSE) - VLOOKUP($B40,test!$A$3:$G$32,6,FALSE) &gt;= (test!$B$34)/1440),1,0)</f>
        <v>0</v>
      </c>
      <c r="Y40" s="3">
        <f>IF(AND(VLOOKUP(Y$1,test!$A$3:$F$32,5,FALSE) - VLOOKUP($B40,test!$A$3:$G$32,6,FALSE) &gt;= (test!$B$34)/1440),1,0)</f>
        <v>0</v>
      </c>
      <c r="Z40" s="3">
        <f>IF(AND(VLOOKUP(Z$1,test!$A$3:$F$32,5,FALSE) - VLOOKUP($B40,test!$A$3:$G$32,6,FALSE) &gt;= (test!$B$34)/1440),1,0)</f>
        <v>0</v>
      </c>
      <c r="AA40" s="3">
        <f>IF(AND(VLOOKUP(AA$1,test!$A$3:$F$32,5,FALSE) - VLOOKUP($B40,test!$A$3:$G$32,6,FALSE) &gt;= (test!$B$34)/1440),1,0)</f>
        <v>0</v>
      </c>
      <c r="AB40" s="3">
        <f>IF(AND(VLOOKUP(AB$1,test!$A$3:$F$32,5,FALSE) - VLOOKUP($B40,test!$A$3:$G$32,6,FALSE) &gt;= (test!$B$34)/1440),1,0)</f>
        <v>0</v>
      </c>
      <c r="AC40" s="3">
        <f>IF(AND(VLOOKUP(AC$1,test!$A$3:$F$32,5,FALSE) - VLOOKUP($B40,test!$A$3:$G$32,6,FALSE) &gt;= (test!$B$34)/1440),1,0)</f>
        <v>0</v>
      </c>
      <c r="AD40" s="3">
        <f>IF(AND(VLOOKUP(AD$1,test!$A$3:$F$32,5,FALSE) - VLOOKUP($B40,test!$A$3:$G$32,6,FALSE) &gt;= (test!$B$34)/1440),1,0)</f>
        <v>0</v>
      </c>
      <c r="AE40" s="3">
        <f>IF(AND(VLOOKUP(AE$1,test!$A$3:$F$32,5,FALSE) - VLOOKUP($B40,test!$A$3:$G$32,6,FALSE) &gt;= (test!$B$34)/1440),1,0)</f>
        <v>0</v>
      </c>
      <c r="AF40" s="3">
        <f>IF(AND(VLOOKUP(AF$1,test!$A$3:$F$32,5,FALSE) - VLOOKUP($B40,test!$A$3:$G$32,6,FALSE) &gt;= (test!$B$34)/1440),1,0)</f>
        <v>0</v>
      </c>
      <c r="AG40" s="3">
        <f>IF(AND(VLOOKUP(AG$1,test!$A$3:$F$32,5,FALSE) - VLOOKUP($B40,test!$A$3:$G$32,6,FALSE) &gt;= (test!$B$34)/1440),1,0)</f>
        <v>0</v>
      </c>
    </row>
    <row r="41" spans="1:33" x14ac:dyDescent="0.25">
      <c r="A41" t="s">
        <v>59</v>
      </c>
      <c r="B41" t="s">
        <v>15</v>
      </c>
      <c r="C41">
        <v>0</v>
      </c>
      <c r="D41" s="3">
        <f>IF(AND(VLOOKUP(D$1,test!$A$3:$F$32,5,FALSE) - VLOOKUP($B41,test!$A$3:$G$32,6,FALSE) &gt;= (test!$B$34)/1440),1,0)</f>
        <v>0</v>
      </c>
      <c r="E41" s="3">
        <f>IF(AND(VLOOKUP(E$1,test!$A$3:$F$32,5,FALSE) - VLOOKUP($B41,test!$A$3:$G$32,6,FALSE) &gt;= (test!$B$34)/1440),1,0)</f>
        <v>0</v>
      </c>
      <c r="F41" s="3">
        <f>IF(AND(VLOOKUP(F$1,test!$A$3:$F$32,5,FALSE) - VLOOKUP($B41,test!$A$3:$G$32,6,FALSE) &gt;= (test!$B$34)/1440),1,0)</f>
        <v>0</v>
      </c>
      <c r="G41" s="3">
        <f>IF(AND(VLOOKUP(G$1,test!$A$3:$F$32,5,FALSE) - VLOOKUP($B41,test!$A$3:$G$32,6,FALSE) &gt;= (test!$B$34)/1440),1,0)</f>
        <v>0</v>
      </c>
      <c r="H41" s="3">
        <f>IF(AND(VLOOKUP(H$1,test!$A$3:$F$32,5,FALSE) - VLOOKUP($B41,test!$A$3:$G$32,6,FALSE) &gt;= (test!$B$34)/1440),1,0)</f>
        <v>0</v>
      </c>
      <c r="I41" s="3">
        <f>IF(AND(VLOOKUP(I$1,test!$A$3:$F$32,5,FALSE) - VLOOKUP($B41,test!$A$3:$G$32,6,FALSE) &gt;= (test!$B$34)/1440),1,0)</f>
        <v>0</v>
      </c>
      <c r="J41" s="3">
        <f>IF(AND(VLOOKUP(J$1,test!$A$3:$F$32,5,FALSE) - VLOOKUP($B41,test!$A$3:$G$32,6,FALSE) &gt;= (test!$B$34)/1440),1,0)</f>
        <v>0</v>
      </c>
      <c r="K41" s="3">
        <f>IF(AND(VLOOKUP(K$1,test!$A$3:$F$32,5,FALSE) - VLOOKUP($B41,test!$A$3:$G$32,6,FALSE) &gt;= (test!$B$34)/1440),1,0)</f>
        <v>0</v>
      </c>
      <c r="L41" s="3">
        <f>IF(AND(VLOOKUP(L$1,test!$A$3:$F$32,5,FALSE) - VLOOKUP($B41,test!$A$3:$G$32,6,FALSE) &gt;= (test!$B$34)/1440),1,0)</f>
        <v>0</v>
      </c>
      <c r="M41" s="3">
        <f>IF(AND(VLOOKUP(M$1,test!$A$3:$F$32,5,FALSE) - VLOOKUP($B41,test!$A$3:$G$32,6,FALSE) &gt;= (test!$B$34)/1440),1,0)</f>
        <v>0</v>
      </c>
      <c r="N41" s="3">
        <f>IF(AND(VLOOKUP(N$1,test!$A$3:$F$32,5,FALSE) - VLOOKUP($B41,test!$A$3:$G$32,6,FALSE) &gt;= (test!$B$34)/1440),1,0)</f>
        <v>0</v>
      </c>
      <c r="O41" s="3">
        <f>IF(AND(VLOOKUP(O$1,test!$A$3:$F$32,5,FALSE) - VLOOKUP($B41,test!$A$3:$G$32,6,FALSE) &gt;= (test!$B$34)/1440),1,0)</f>
        <v>0</v>
      </c>
      <c r="P41" s="3">
        <f>IF(AND(VLOOKUP(P$1,test!$A$3:$F$32,5,FALSE) - VLOOKUP($B41,test!$A$3:$G$32,6,FALSE) &gt;= (test!$B$34)/1440),1,0)</f>
        <v>0</v>
      </c>
      <c r="Q41" s="3">
        <f>IF(AND(VLOOKUP(Q$1,test!$A$3:$F$32,5,FALSE) - VLOOKUP($B41,test!$A$3:$G$32,6,FALSE) &gt;= (test!$B$34)/1440),1,0)</f>
        <v>0</v>
      </c>
      <c r="R41" s="3">
        <f>IF(AND(VLOOKUP(R$1,test!$A$3:$F$32,5,FALSE) - VLOOKUP($B41,test!$A$3:$G$32,6,FALSE) &gt;= (test!$B$34)/1440),1,0)</f>
        <v>0</v>
      </c>
      <c r="S41" s="3">
        <f>IF(AND(VLOOKUP(S$1,test!$A$3:$F$32,5,FALSE) - VLOOKUP($B41,test!$A$3:$G$32,6,FALSE) &gt;= (test!$B$34)/1440),1,0)</f>
        <v>0</v>
      </c>
      <c r="T41" s="3">
        <f>IF(AND(VLOOKUP(T$1,test!$A$3:$F$32,5,FALSE) - VLOOKUP($B41,test!$A$3:$G$32,6,FALSE) &gt;= (test!$B$34)/1440),1,0)</f>
        <v>0</v>
      </c>
      <c r="U41" s="3">
        <f>IF(AND(VLOOKUP(U$1,test!$A$3:$F$32,5,FALSE) - VLOOKUP($B41,test!$A$3:$G$32,6,FALSE) &gt;= (test!$B$34)/1440),1,0)</f>
        <v>0</v>
      </c>
      <c r="V41" s="3">
        <f>IF(AND(VLOOKUP(V$1,test!$A$3:$F$32,5,FALSE) - VLOOKUP($B41,test!$A$3:$G$32,6,FALSE) &gt;= (test!$B$34)/1440),1,0)</f>
        <v>0</v>
      </c>
      <c r="W41" s="3">
        <f>IF(AND(VLOOKUP(W$1,test!$A$3:$F$32,5,FALSE) - VLOOKUP($B41,test!$A$3:$G$32,6,FALSE) &gt;= (test!$B$34)/1440),1,0)</f>
        <v>0</v>
      </c>
      <c r="X41" s="3">
        <f>IF(AND(VLOOKUP(X$1,test!$A$3:$F$32,5,FALSE) - VLOOKUP($B41,test!$A$3:$G$32,6,FALSE) &gt;= (test!$B$34)/1440),1,0)</f>
        <v>0</v>
      </c>
      <c r="Y41" s="3">
        <f>IF(AND(VLOOKUP(Y$1,test!$A$3:$F$32,5,FALSE) - VLOOKUP($B41,test!$A$3:$G$32,6,FALSE) &gt;= (test!$B$34)/1440),1,0)</f>
        <v>0</v>
      </c>
      <c r="Z41" s="3">
        <f>IF(AND(VLOOKUP(Z$1,test!$A$3:$F$32,5,FALSE) - VLOOKUP($B41,test!$A$3:$G$32,6,FALSE) &gt;= (test!$B$34)/1440),1,0)</f>
        <v>0</v>
      </c>
      <c r="AA41" s="3">
        <f>IF(AND(VLOOKUP(AA$1,test!$A$3:$F$32,5,FALSE) - VLOOKUP($B41,test!$A$3:$G$32,6,FALSE) &gt;= (test!$B$34)/1440),1,0)</f>
        <v>0</v>
      </c>
      <c r="AB41" s="3">
        <f>IF(AND(VLOOKUP(AB$1,test!$A$3:$F$32,5,FALSE) - VLOOKUP($B41,test!$A$3:$G$32,6,FALSE) &gt;= (test!$B$34)/1440),1,0)</f>
        <v>0</v>
      </c>
      <c r="AC41" s="3">
        <f>IF(AND(VLOOKUP(AC$1,test!$A$3:$F$32,5,FALSE) - VLOOKUP($B41,test!$A$3:$G$32,6,FALSE) &gt;= (test!$B$34)/1440),1,0)</f>
        <v>0</v>
      </c>
      <c r="AD41" s="3">
        <f>IF(AND(VLOOKUP(AD$1,test!$A$3:$F$32,5,FALSE) - VLOOKUP($B41,test!$A$3:$G$32,6,FALSE) &gt;= (test!$B$34)/1440),1,0)</f>
        <v>0</v>
      </c>
      <c r="AE41" s="3">
        <f>IF(AND(VLOOKUP(AE$1,test!$A$3:$F$32,5,FALSE) - VLOOKUP($B41,test!$A$3:$G$32,6,FALSE) &gt;= (test!$B$34)/1440),1,0)</f>
        <v>0</v>
      </c>
      <c r="AF41" s="3">
        <f>IF(AND(VLOOKUP(AF$1,test!$A$3:$F$32,5,FALSE) - VLOOKUP($B41,test!$A$3:$G$32,6,FALSE) &gt;= (test!$B$34)/1440),1,0)</f>
        <v>0</v>
      </c>
      <c r="AG41" s="3">
        <f>IF(AND(VLOOKUP(AG$1,test!$A$3:$F$32,5,FALSE) - VLOOKUP($B41,test!$A$3:$G$32,6,FALSE) &gt;= (test!$B$34)/1440),1,0)</f>
        <v>0</v>
      </c>
    </row>
    <row r="42" spans="1:33" x14ac:dyDescent="0.25">
      <c r="A42" t="s">
        <v>59</v>
      </c>
      <c r="B42" t="s">
        <v>18</v>
      </c>
      <c r="C42">
        <v>0</v>
      </c>
      <c r="D42" s="3">
        <f>IF(AND(VLOOKUP(D$1,test!$A$3:$F$32,5,FALSE) - VLOOKUP($B42,test!$A$3:$G$32,6,FALSE) &gt;= (test!$B$34)/1440),1,0)</f>
        <v>0</v>
      </c>
      <c r="E42" s="3">
        <f>IF(AND(VLOOKUP(E$1,test!$A$3:$F$32,5,FALSE) - VLOOKUP($B42,test!$A$3:$G$32,6,FALSE) &gt;= (test!$B$34)/1440),1,0)</f>
        <v>0</v>
      </c>
      <c r="F42" s="3">
        <f>IF(AND(VLOOKUP(F$1,test!$A$3:$F$32,5,FALSE) - VLOOKUP($B42,test!$A$3:$G$32,6,FALSE) &gt;= (test!$B$34)/1440),1,0)</f>
        <v>1</v>
      </c>
      <c r="G42" s="3">
        <f>IF(AND(VLOOKUP(G$1,test!$A$3:$F$32,5,FALSE) - VLOOKUP($B42,test!$A$3:$G$32,6,FALSE) &gt;= (test!$B$34)/1440),1,0)</f>
        <v>1</v>
      </c>
      <c r="H42" s="3">
        <f>IF(AND(VLOOKUP(H$1,test!$A$3:$F$32,5,FALSE) - VLOOKUP($B42,test!$A$3:$G$32,6,FALSE) &gt;= (test!$B$34)/1440),1,0)</f>
        <v>1</v>
      </c>
      <c r="I42" s="3">
        <f>IF(AND(VLOOKUP(I$1,test!$A$3:$F$32,5,FALSE) - VLOOKUP($B42,test!$A$3:$G$32,6,FALSE) &gt;= (test!$B$34)/1440),1,0)</f>
        <v>1</v>
      </c>
      <c r="J42" s="3">
        <f>IF(AND(VLOOKUP(J$1,test!$A$3:$F$32,5,FALSE) - VLOOKUP($B42,test!$A$3:$G$32,6,FALSE) &gt;= (test!$B$34)/1440),1,0)</f>
        <v>1</v>
      </c>
      <c r="K42" s="3">
        <f>IF(AND(VLOOKUP(K$1,test!$A$3:$F$32,5,FALSE) - VLOOKUP($B42,test!$A$3:$G$32,6,FALSE) &gt;= (test!$B$34)/1440),1,0)</f>
        <v>1</v>
      </c>
      <c r="L42" s="3">
        <f>IF(AND(VLOOKUP(L$1,test!$A$3:$F$32,5,FALSE) - VLOOKUP($B42,test!$A$3:$G$32,6,FALSE) &gt;= (test!$B$34)/1440),1,0)</f>
        <v>0</v>
      </c>
      <c r="M42" s="3">
        <f>IF(AND(VLOOKUP(M$1,test!$A$3:$F$32,5,FALSE) - VLOOKUP($B42,test!$A$3:$G$32,6,FALSE) &gt;= (test!$B$34)/1440),1,0)</f>
        <v>0</v>
      </c>
      <c r="N42" s="3">
        <f>IF(AND(VLOOKUP(N$1,test!$A$3:$F$32,5,FALSE) - VLOOKUP($B42,test!$A$3:$G$32,6,FALSE) &gt;= (test!$B$34)/1440),1,0)</f>
        <v>1</v>
      </c>
      <c r="O42" s="3">
        <f>IF(AND(VLOOKUP(O$1,test!$A$3:$F$32,5,FALSE) - VLOOKUP($B42,test!$A$3:$G$32,6,FALSE) &gt;= (test!$B$34)/1440),1,0)</f>
        <v>1</v>
      </c>
      <c r="P42" s="3">
        <f>IF(AND(VLOOKUP(P$1,test!$A$3:$F$32,5,FALSE) - VLOOKUP($B42,test!$A$3:$G$32,6,FALSE) &gt;= (test!$B$34)/1440),1,0)</f>
        <v>1</v>
      </c>
      <c r="Q42" s="3">
        <f>IF(AND(VLOOKUP(Q$1,test!$A$3:$F$32,5,FALSE) - VLOOKUP($B42,test!$A$3:$G$32,6,FALSE) &gt;= (test!$B$34)/1440),1,0)</f>
        <v>0</v>
      </c>
      <c r="R42" s="3">
        <f>IF(AND(VLOOKUP(R$1,test!$A$3:$F$32,5,FALSE) - VLOOKUP($B42,test!$A$3:$G$32,6,FALSE) &gt;= (test!$B$34)/1440),1,0)</f>
        <v>0</v>
      </c>
      <c r="S42" s="3">
        <f>IF(AND(VLOOKUP(S$1,test!$A$3:$F$32,5,FALSE) - VLOOKUP($B42,test!$A$3:$G$32,6,FALSE) &gt;= (test!$B$34)/1440),1,0)</f>
        <v>0</v>
      </c>
      <c r="T42" s="3">
        <f>IF(AND(VLOOKUP(T$1,test!$A$3:$F$32,5,FALSE) - VLOOKUP($B42,test!$A$3:$G$32,6,FALSE) &gt;= (test!$B$34)/1440),1,0)</f>
        <v>0</v>
      </c>
      <c r="U42" s="3">
        <f>IF(AND(VLOOKUP(U$1,test!$A$3:$F$32,5,FALSE) - VLOOKUP($B42,test!$A$3:$G$32,6,FALSE) &gt;= (test!$B$34)/1440),1,0)</f>
        <v>1</v>
      </c>
      <c r="V42" s="3">
        <f>IF(AND(VLOOKUP(V$1,test!$A$3:$F$32,5,FALSE) - VLOOKUP($B42,test!$A$3:$G$32,6,FALSE) &gt;= (test!$B$34)/1440),1,0)</f>
        <v>1</v>
      </c>
      <c r="W42" s="3">
        <f>IF(AND(VLOOKUP(W$1,test!$A$3:$F$32,5,FALSE) - VLOOKUP($B42,test!$A$3:$G$32,6,FALSE) &gt;= (test!$B$34)/1440),1,0)</f>
        <v>1</v>
      </c>
      <c r="X42" s="3">
        <f>IF(AND(VLOOKUP(X$1,test!$A$3:$F$32,5,FALSE) - VLOOKUP($B42,test!$A$3:$G$32,6,FALSE) &gt;= (test!$B$34)/1440),1,0)</f>
        <v>1</v>
      </c>
      <c r="Y42" s="3">
        <f>IF(AND(VLOOKUP(Y$1,test!$A$3:$F$32,5,FALSE) - VLOOKUP($B42,test!$A$3:$G$32,6,FALSE) &gt;= (test!$B$34)/1440),1,0)</f>
        <v>1</v>
      </c>
      <c r="Z42" s="3">
        <f>IF(AND(VLOOKUP(Z$1,test!$A$3:$F$32,5,FALSE) - VLOOKUP($B42,test!$A$3:$G$32,6,FALSE) &gt;= (test!$B$34)/1440),1,0)</f>
        <v>0</v>
      </c>
      <c r="AA42" s="3">
        <f>IF(AND(VLOOKUP(AA$1,test!$A$3:$F$32,5,FALSE) - VLOOKUP($B42,test!$A$3:$G$32,6,FALSE) &gt;= (test!$B$34)/1440),1,0)</f>
        <v>0</v>
      </c>
      <c r="AB42" s="3">
        <f>IF(AND(VLOOKUP(AB$1,test!$A$3:$F$32,5,FALSE) - VLOOKUP($B42,test!$A$3:$G$32,6,FALSE) &gt;= (test!$B$34)/1440),1,0)</f>
        <v>1</v>
      </c>
      <c r="AC42" s="3">
        <f>IF(AND(VLOOKUP(AC$1,test!$A$3:$F$32,5,FALSE) - VLOOKUP($B42,test!$A$3:$G$32,6,FALSE) &gt;= (test!$B$34)/1440),1,0)</f>
        <v>1</v>
      </c>
      <c r="AD42" s="3">
        <f>IF(AND(VLOOKUP(AD$1,test!$A$3:$F$32,5,FALSE) - VLOOKUP($B42,test!$A$3:$G$32,6,FALSE) &gt;= (test!$B$34)/1440),1,0)</f>
        <v>1</v>
      </c>
      <c r="AE42" s="3">
        <f>IF(AND(VLOOKUP(AE$1,test!$A$3:$F$32,5,FALSE) - VLOOKUP($B42,test!$A$3:$G$32,6,FALSE) &gt;= (test!$B$34)/1440),1,0)</f>
        <v>0</v>
      </c>
      <c r="AF42" s="3">
        <f>IF(AND(VLOOKUP(AF$1,test!$A$3:$F$32,5,FALSE) - VLOOKUP($B42,test!$A$3:$G$32,6,FALSE) &gt;= (test!$B$34)/1440),1,0)</f>
        <v>1</v>
      </c>
      <c r="AG42" s="3">
        <f>IF(AND(VLOOKUP(AG$1,test!$A$3:$F$32,5,FALSE) - VLOOKUP($B42,test!$A$3:$G$32,6,FALSE) &gt;= (test!$B$34)/1440),1,0)</f>
        <v>1</v>
      </c>
    </row>
    <row r="43" spans="1:33" x14ac:dyDescent="0.25">
      <c r="A43" t="s">
        <v>59</v>
      </c>
      <c r="B43" t="s">
        <v>20</v>
      </c>
      <c r="C43">
        <v>0</v>
      </c>
      <c r="D43" s="3">
        <f>IF(AND(VLOOKUP(D$1,test!$A$3:$F$32,5,FALSE) - VLOOKUP($B43,test!$A$3:$G$32,6,FALSE) &gt;= (test!$B$34)/1440),1,0)</f>
        <v>0</v>
      </c>
      <c r="E43" s="3">
        <f>IF(AND(VLOOKUP(E$1,test!$A$3:$F$32,5,FALSE) - VLOOKUP($B43,test!$A$3:$G$32,6,FALSE) &gt;= (test!$B$34)/1440),1,0)</f>
        <v>0</v>
      </c>
      <c r="F43" s="3">
        <f>IF(AND(VLOOKUP(F$1,test!$A$3:$F$32,5,FALSE) - VLOOKUP($B43,test!$A$3:$G$32,6,FALSE) &gt;= (test!$B$34)/1440),1,0)</f>
        <v>0</v>
      </c>
      <c r="G43" s="3">
        <f>IF(AND(VLOOKUP(G$1,test!$A$3:$F$32,5,FALSE) - VLOOKUP($B43,test!$A$3:$G$32,6,FALSE) &gt;= (test!$B$34)/1440),1,0)</f>
        <v>1</v>
      </c>
      <c r="H43" s="3">
        <f>IF(AND(VLOOKUP(H$1,test!$A$3:$F$32,5,FALSE) - VLOOKUP($B43,test!$A$3:$G$32,6,FALSE) &gt;= (test!$B$34)/1440),1,0)</f>
        <v>1</v>
      </c>
      <c r="I43" s="3">
        <f>IF(AND(VLOOKUP(I$1,test!$A$3:$F$32,5,FALSE) - VLOOKUP($B43,test!$A$3:$G$32,6,FALSE) &gt;= (test!$B$34)/1440),1,0)</f>
        <v>1</v>
      </c>
      <c r="J43" s="3">
        <f>IF(AND(VLOOKUP(J$1,test!$A$3:$F$32,5,FALSE) - VLOOKUP($B43,test!$A$3:$G$32,6,FALSE) &gt;= (test!$B$34)/1440),1,0)</f>
        <v>1</v>
      </c>
      <c r="K43" s="3">
        <f>IF(AND(VLOOKUP(K$1,test!$A$3:$F$32,5,FALSE) - VLOOKUP($B43,test!$A$3:$G$32,6,FALSE) &gt;= (test!$B$34)/1440),1,0)</f>
        <v>1</v>
      </c>
      <c r="L43" s="3">
        <f>IF(AND(VLOOKUP(L$1,test!$A$3:$F$32,5,FALSE) - VLOOKUP($B43,test!$A$3:$G$32,6,FALSE) &gt;= (test!$B$34)/1440),1,0)</f>
        <v>0</v>
      </c>
      <c r="M43" s="3">
        <f>IF(AND(VLOOKUP(M$1,test!$A$3:$F$32,5,FALSE) - VLOOKUP($B43,test!$A$3:$G$32,6,FALSE) &gt;= (test!$B$34)/1440),1,0)</f>
        <v>0</v>
      </c>
      <c r="N43" s="3">
        <f>IF(AND(VLOOKUP(N$1,test!$A$3:$F$32,5,FALSE) - VLOOKUP($B43,test!$A$3:$G$32,6,FALSE) &gt;= (test!$B$34)/1440),1,0)</f>
        <v>0</v>
      </c>
      <c r="O43" s="3">
        <f>IF(AND(VLOOKUP(O$1,test!$A$3:$F$32,5,FALSE) - VLOOKUP($B43,test!$A$3:$G$32,6,FALSE) &gt;= (test!$B$34)/1440),1,0)</f>
        <v>1</v>
      </c>
      <c r="P43" s="3">
        <f>IF(AND(VLOOKUP(P$1,test!$A$3:$F$32,5,FALSE) - VLOOKUP($B43,test!$A$3:$G$32,6,FALSE) &gt;= (test!$B$34)/1440),1,0)</f>
        <v>1</v>
      </c>
      <c r="Q43" s="3">
        <f>IF(AND(VLOOKUP(Q$1,test!$A$3:$F$32,5,FALSE) - VLOOKUP($B43,test!$A$3:$G$32,6,FALSE) &gt;= (test!$B$34)/1440),1,0)</f>
        <v>0</v>
      </c>
      <c r="R43" s="3">
        <f>IF(AND(VLOOKUP(R$1,test!$A$3:$F$32,5,FALSE) - VLOOKUP($B43,test!$A$3:$G$32,6,FALSE) &gt;= (test!$B$34)/1440),1,0)</f>
        <v>0</v>
      </c>
      <c r="S43" s="3">
        <f>IF(AND(VLOOKUP(S$1,test!$A$3:$F$32,5,FALSE) - VLOOKUP($B43,test!$A$3:$G$32,6,FALSE) &gt;= (test!$B$34)/1440),1,0)</f>
        <v>0</v>
      </c>
      <c r="T43" s="3">
        <f>IF(AND(VLOOKUP(T$1,test!$A$3:$F$32,5,FALSE) - VLOOKUP($B43,test!$A$3:$G$32,6,FALSE) &gt;= (test!$B$34)/1440),1,0)</f>
        <v>0</v>
      </c>
      <c r="U43" s="3">
        <f>IF(AND(VLOOKUP(U$1,test!$A$3:$F$32,5,FALSE) - VLOOKUP($B43,test!$A$3:$G$32,6,FALSE) &gt;= (test!$B$34)/1440),1,0)</f>
        <v>0</v>
      </c>
      <c r="V43" s="3">
        <f>IF(AND(VLOOKUP(V$1,test!$A$3:$F$32,5,FALSE) - VLOOKUP($B43,test!$A$3:$G$32,6,FALSE) &gt;= (test!$B$34)/1440),1,0)</f>
        <v>1</v>
      </c>
      <c r="W43" s="3">
        <f>IF(AND(VLOOKUP(W$1,test!$A$3:$F$32,5,FALSE) - VLOOKUP($B43,test!$A$3:$G$32,6,FALSE) &gt;= (test!$B$34)/1440),1,0)</f>
        <v>1</v>
      </c>
      <c r="X43" s="3">
        <f>IF(AND(VLOOKUP(X$1,test!$A$3:$F$32,5,FALSE) - VLOOKUP($B43,test!$A$3:$G$32,6,FALSE) &gt;= (test!$B$34)/1440),1,0)</f>
        <v>1</v>
      </c>
      <c r="Y43" s="3">
        <f>IF(AND(VLOOKUP(Y$1,test!$A$3:$F$32,5,FALSE) - VLOOKUP($B43,test!$A$3:$G$32,6,FALSE) &gt;= (test!$B$34)/1440),1,0)</f>
        <v>1</v>
      </c>
      <c r="Z43" s="3">
        <f>IF(AND(VLOOKUP(Z$1,test!$A$3:$F$32,5,FALSE) - VLOOKUP($B43,test!$A$3:$G$32,6,FALSE) &gt;= (test!$B$34)/1440),1,0)</f>
        <v>0</v>
      </c>
      <c r="AA43" s="3">
        <f>IF(AND(VLOOKUP(AA$1,test!$A$3:$F$32,5,FALSE) - VLOOKUP($B43,test!$A$3:$G$32,6,FALSE) &gt;= (test!$B$34)/1440),1,0)</f>
        <v>0</v>
      </c>
      <c r="AB43" s="3">
        <f>IF(AND(VLOOKUP(AB$1,test!$A$3:$F$32,5,FALSE) - VLOOKUP($B43,test!$A$3:$G$32,6,FALSE) &gt;= (test!$B$34)/1440),1,0)</f>
        <v>0</v>
      </c>
      <c r="AC43" s="3">
        <f>IF(AND(VLOOKUP(AC$1,test!$A$3:$F$32,5,FALSE) - VLOOKUP($B43,test!$A$3:$G$32,6,FALSE) &gt;= (test!$B$34)/1440),1,0)</f>
        <v>1</v>
      </c>
      <c r="AD43" s="3">
        <f>IF(AND(VLOOKUP(AD$1,test!$A$3:$F$32,5,FALSE) - VLOOKUP($B43,test!$A$3:$G$32,6,FALSE) &gt;= (test!$B$34)/1440),1,0)</f>
        <v>1</v>
      </c>
      <c r="AE43" s="3">
        <f>IF(AND(VLOOKUP(AE$1,test!$A$3:$F$32,5,FALSE) - VLOOKUP($B43,test!$A$3:$G$32,6,FALSE) &gt;= (test!$B$34)/1440),1,0)</f>
        <v>0</v>
      </c>
      <c r="AF43" s="3">
        <f>IF(AND(VLOOKUP(AF$1,test!$A$3:$F$32,5,FALSE) - VLOOKUP($B43,test!$A$3:$G$32,6,FALSE) &gt;= (test!$B$34)/1440),1,0)</f>
        <v>0</v>
      </c>
      <c r="AG43" s="3">
        <f>IF(AND(VLOOKUP(AG$1,test!$A$3:$F$32,5,FALSE) - VLOOKUP($B43,test!$A$3:$G$32,6,FALSE) &gt;= (test!$B$34)/1440),1,0)</f>
        <v>0</v>
      </c>
    </row>
    <row r="44" spans="1:33" x14ac:dyDescent="0.25">
      <c r="A44" t="s">
        <v>59</v>
      </c>
      <c r="B44" t="s">
        <v>21</v>
      </c>
      <c r="C44">
        <v>0</v>
      </c>
      <c r="D44" s="3">
        <f>IF(AND(VLOOKUP(D$1,test!$A$3:$F$32,5,FALSE) - VLOOKUP($B44,test!$A$3:$G$32,6,FALSE) &gt;= (test!$B$34)/1440),1,0)</f>
        <v>0</v>
      </c>
      <c r="E44" s="3">
        <f>IF(AND(VLOOKUP(E$1,test!$A$3:$F$32,5,FALSE) - VLOOKUP($B44,test!$A$3:$G$32,6,FALSE) &gt;= (test!$B$34)/1440),1,0)</f>
        <v>0</v>
      </c>
      <c r="F44" s="3">
        <f>IF(AND(VLOOKUP(F$1,test!$A$3:$F$32,5,FALSE) - VLOOKUP($B44,test!$A$3:$G$32,6,FALSE) &gt;= (test!$B$34)/1440),1,0)</f>
        <v>0</v>
      </c>
      <c r="G44" s="3">
        <f>IF(AND(VLOOKUP(G$1,test!$A$3:$F$32,5,FALSE) - VLOOKUP($B44,test!$A$3:$G$32,6,FALSE) &gt;= (test!$B$34)/1440),1,0)</f>
        <v>0</v>
      </c>
      <c r="H44" s="3">
        <f>IF(AND(VLOOKUP(H$1,test!$A$3:$F$32,5,FALSE) - VLOOKUP($B44,test!$A$3:$G$32,6,FALSE) &gt;= (test!$B$34)/1440),1,0)</f>
        <v>0</v>
      </c>
      <c r="I44" s="3">
        <f>IF(AND(VLOOKUP(I$1,test!$A$3:$F$32,5,FALSE) - VLOOKUP($B44,test!$A$3:$G$32,6,FALSE) &gt;= (test!$B$34)/1440),1,0)</f>
        <v>1</v>
      </c>
      <c r="J44" s="3">
        <f>IF(AND(VLOOKUP(J$1,test!$A$3:$F$32,5,FALSE) - VLOOKUP($B44,test!$A$3:$G$32,6,FALSE) &gt;= (test!$B$34)/1440),1,0)</f>
        <v>1</v>
      </c>
      <c r="K44" s="3">
        <f>IF(AND(VLOOKUP(K$1,test!$A$3:$F$32,5,FALSE) - VLOOKUP($B44,test!$A$3:$G$32,6,FALSE) &gt;= (test!$B$34)/1440),1,0)</f>
        <v>1</v>
      </c>
      <c r="L44" s="3">
        <f>IF(AND(VLOOKUP(L$1,test!$A$3:$F$32,5,FALSE) - VLOOKUP($B44,test!$A$3:$G$32,6,FALSE) &gt;= (test!$B$34)/1440),1,0)</f>
        <v>0</v>
      </c>
      <c r="M44" s="3">
        <f>IF(AND(VLOOKUP(M$1,test!$A$3:$F$32,5,FALSE) - VLOOKUP($B44,test!$A$3:$G$32,6,FALSE) &gt;= (test!$B$34)/1440),1,0)</f>
        <v>0</v>
      </c>
      <c r="N44" s="3">
        <f>IF(AND(VLOOKUP(N$1,test!$A$3:$F$32,5,FALSE) - VLOOKUP($B44,test!$A$3:$G$32,6,FALSE) &gt;= (test!$B$34)/1440),1,0)</f>
        <v>0</v>
      </c>
      <c r="O44" s="3">
        <f>IF(AND(VLOOKUP(O$1,test!$A$3:$F$32,5,FALSE) - VLOOKUP($B44,test!$A$3:$G$32,6,FALSE) &gt;= (test!$B$34)/1440),1,0)</f>
        <v>1</v>
      </c>
      <c r="P44" s="3">
        <f>IF(AND(VLOOKUP(P$1,test!$A$3:$F$32,5,FALSE) - VLOOKUP($B44,test!$A$3:$G$32,6,FALSE) &gt;= (test!$B$34)/1440),1,0)</f>
        <v>1</v>
      </c>
      <c r="Q44" s="3">
        <f>IF(AND(VLOOKUP(Q$1,test!$A$3:$F$32,5,FALSE) - VLOOKUP($B44,test!$A$3:$G$32,6,FALSE) &gt;= (test!$B$34)/1440),1,0)</f>
        <v>0</v>
      </c>
      <c r="R44" s="3">
        <f>IF(AND(VLOOKUP(R$1,test!$A$3:$F$32,5,FALSE) - VLOOKUP($B44,test!$A$3:$G$32,6,FALSE) &gt;= (test!$B$34)/1440),1,0)</f>
        <v>0</v>
      </c>
      <c r="S44" s="3">
        <f>IF(AND(VLOOKUP(S$1,test!$A$3:$F$32,5,FALSE) - VLOOKUP($B44,test!$A$3:$G$32,6,FALSE) &gt;= (test!$B$34)/1440),1,0)</f>
        <v>0</v>
      </c>
      <c r="T44" s="3">
        <f>IF(AND(VLOOKUP(T$1,test!$A$3:$F$32,5,FALSE) - VLOOKUP($B44,test!$A$3:$G$32,6,FALSE) &gt;= (test!$B$34)/1440),1,0)</f>
        <v>0</v>
      </c>
      <c r="U44" s="3">
        <f>IF(AND(VLOOKUP(U$1,test!$A$3:$F$32,5,FALSE) - VLOOKUP($B44,test!$A$3:$G$32,6,FALSE) &gt;= (test!$B$34)/1440),1,0)</f>
        <v>0</v>
      </c>
      <c r="V44" s="3">
        <f>IF(AND(VLOOKUP(V$1,test!$A$3:$F$32,5,FALSE) - VLOOKUP($B44,test!$A$3:$G$32,6,FALSE) &gt;= (test!$B$34)/1440),1,0)</f>
        <v>0</v>
      </c>
      <c r="W44" s="3">
        <f>IF(AND(VLOOKUP(W$1,test!$A$3:$F$32,5,FALSE) - VLOOKUP($B44,test!$A$3:$G$32,6,FALSE) &gt;= (test!$B$34)/1440),1,0)</f>
        <v>0</v>
      </c>
      <c r="X44" s="3">
        <f>IF(AND(VLOOKUP(X$1,test!$A$3:$F$32,5,FALSE) - VLOOKUP($B44,test!$A$3:$G$32,6,FALSE) &gt;= (test!$B$34)/1440),1,0)</f>
        <v>1</v>
      </c>
      <c r="Y44" s="3">
        <f>IF(AND(VLOOKUP(Y$1,test!$A$3:$F$32,5,FALSE) - VLOOKUP($B44,test!$A$3:$G$32,6,FALSE) &gt;= (test!$B$34)/1440),1,0)</f>
        <v>1</v>
      </c>
      <c r="Z44" s="3">
        <f>IF(AND(VLOOKUP(Z$1,test!$A$3:$F$32,5,FALSE) - VLOOKUP($B44,test!$A$3:$G$32,6,FALSE) &gt;= (test!$B$34)/1440),1,0)</f>
        <v>0</v>
      </c>
      <c r="AA44" s="3">
        <f>IF(AND(VLOOKUP(AA$1,test!$A$3:$F$32,5,FALSE) - VLOOKUP($B44,test!$A$3:$G$32,6,FALSE) &gt;= (test!$B$34)/1440),1,0)</f>
        <v>0</v>
      </c>
      <c r="AB44" s="3">
        <f>IF(AND(VLOOKUP(AB$1,test!$A$3:$F$32,5,FALSE) - VLOOKUP($B44,test!$A$3:$G$32,6,FALSE) &gt;= (test!$B$34)/1440),1,0)</f>
        <v>0</v>
      </c>
      <c r="AC44" s="3">
        <f>IF(AND(VLOOKUP(AC$1,test!$A$3:$F$32,5,FALSE) - VLOOKUP($B44,test!$A$3:$G$32,6,FALSE) &gt;= (test!$B$34)/1440),1,0)</f>
        <v>0</v>
      </c>
      <c r="AD44" s="3">
        <f>IF(AND(VLOOKUP(AD$1,test!$A$3:$F$32,5,FALSE) - VLOOKUP($B44,test!$A$3:$G$32,6,FALSE) &gt;= (test!$B$34)/1440),1,0)</f>
        <v>1</v>
      </c>
      <c r="AE44" s="3">
        <f>IF(AND(VLOOKUP(AE$1,test!$A$3:$F$32,5,FALSE) - VLOOKUP($B44,test!$A$3:$G$32,6,FALSE) &gt;= (test!$B$34)/1440),1,0)</f>
        <v>0</v>
      </c>
      <c r="AF44" s="3">
        <f>IF(AND(VLOOKUP(AF$1,test!$A$3:$F$32,5,FALSE) - VLOOKUP($B44,test!$A$3:$G$32,6,FALSE) &gt;= (test!$B$34)/1440),1,0)</f>
        <v>0</v>
      </c>
      <c r="AG44" s="3">
        <f>IF(AND(VLOOKUP(AG$1,test!$A$3:$F$32,5,FALSE) - VLOOKUP($B44,test!$A$3:$G$32,6,FALSE) &gt;= (test!$B$34)/1440),1,0)</f>
        <v>0</v>
      </c>
    </row>
    <row r="45" spans="1:33" x14ac:dyDescent="0.25">
      <c r="A45" t="s">
        <v>59</v>
      </c>
      <c r="B45" t="s">
        <v>22</v>
      </c>
      <c r="C45">
        <v>0</v>
      </c>
      <c r="D45" s="3">
        <f>IF(AND(VLOOKUP(D$1,test!$A$3:$F$32,5,FALSE) - VLOOKUP($B45,test!$A$3:$G$32,6,FALSE) &gt;= (test!$B$34)/1440),1,0)</f>
        <v>0</v>
      </c>
      <c r="E45" s="3">
        <f>IF(AND(VLOOKUP(E$1,test!$A$3:$F$32,5,FALSE) - VLOOKUP($B45,test!$A$3:$G$32,6,FALSE) &gt;= (test!$B$34)/1440),1,0)</f>
        <v>0</v>
      </c>
      <c r="F45" s="3">
        <f>IF(AND(VLOOKUP(F$1,test!$A$3:$F$32,5,FALSE) - VLOOKUP($B45,test!$A$3:$G$32,6,FALSE) &gt;= (test!$B$34)/1440),1,0)</f>
        <v>0</v>
      </c>
      <c r="G45" s="3">
        <f>IF(AND(VLOOKUP(G$1,test!$A$3:$F$32,5,FALSE) - VLOOKUP($B45,test!$A$3:$G$32,6,FALSE) &gt;= (test!$B$34)/1440),1,0)</f>
        <v>0</v>
      </c>
      <c r="H45" s="3">
        <f>IF(AND(VLOOKUP(H$1,test!$A$3:$F$32,5,FALSE) - VLOOKUP($B45,test!$A$3:$G$32,6,FALSE) &gt;= (test!$B$34)/1440),1,0)</f>
        <v>0</v>
      </c>
      <c r="I45" s="3">
        <f>IF(AND(VLOOKUP(I$1,test!$A$3:$F$32,5,FALSE) - VLOOKUP($B45,test!$A$3:$G$32,6,FALSE) &gt;= (test!$B$34)/1440),1,0)</f>
        <v>0</v>
      </c>
      <c r="J45" s="3">
        <f>IF(AND(VLOOKUP(J$1,test!$A$3:$F$32,5,FALSE) - VLOOKUP($B45,test!$A$3:$G$32,6,FALSE) &gt;= (test!$B$34)/1440),1,0)</f>
        <v>0</v>
      </c>
      <c r="K45" s="3">
        <f>IF(AND(VLOOKUP(K$1,test!$A$3:$F$32,5,FALSE) - VLOOKUP($B45,test!$A$3:$G$32,6,FALSE) &gt;= (test!$B$34)/1440),1,0)</f>
        <v>0</v>
      </c>
      <c r="L45" s="3">
        <f>IF(AND(VLOOKUP(L$1,test!$A$3:$F$32,5,FALSE) - VLOOKUP($B45,test!$A$3:$G$32,6,FALSE) &gt;= (test!$B$34)/1440),1,0)</f>
        <v>0</v>
      </c>
      <c r="M45" s="3">
        <f>IF(AND(VLOOKUP(M$1,test!$A$3:$F$32,5,FALSE) - VLOOKUP($B45,test!$A$3:$G$32,6,FALSE) &gt;= (test!$B$34)/1440),1,0)</f>
        <v>0</v>
      </c>
      <c r="N45" s="3">
        <f>IF(AND(VLOOKUP(N$1,test!$A$3:$F$32,5,FALSE) - VLOOKUP($B45,test!$A$3:$G$32,6,FALSE) &gt;= (test!$B$34)/1440),1,0)</f>
        <v>0</v>
      </c>
      <c r="O45" s="3">
        <f>IF(AND(VLOOKUP(O$1,test!$A$3:$F$32,5,FALSE) - VLOOKUP($B45,test!$A$3:$G$32,6,FALSE) &gt;= (test!$B$34)/1440),1,0)</f>
        <v>0</v>
      </c>
      <c r="P45" s="3">
        <f>IF(AND(VLOOKUP(P$1,test!$A$3:$F$32,5,FALSE) - VLOOKUP($B45,test!$A$3:$G$32,6,FALSE) &gt;= (test!$B$34)/1440),1,0)</f>
        <v>0</v>
      </c>
      <c r="Q45" s="3">
        <f>IF(AND(VLOOKUP(Q$1,test!$A$3:$F$32,5,FALSE) - VLOOKUP($B45,test!$A$3:$G$32,6,FALSE) &gt;= (test!$B$34)/1440),1,0)</f>
        <v>0</v>
      </c>
      <c r="R45" s="3">
        <f>IF(AND(VLOOKUP(R$1,test!$A$3:$F$32,5,FALSE) - VLOOKUP($B45,test!$A$3:$G$32,6,FALSE) &gt;= (test!$B$34)/1440),1,0)</f>
        <v>0</v>
      </c>
      <c r="S45" s="3">
        <f>IF(AND(VLOOKUP(S$1,test!$A$3:$F$32,5,FALSE) - VLOOKUP($B45,test!$A$3:$G$32,6,FALSE) &gt;= (test!$B$34)/1440),1,0)</f>
        <v>0</v>
      </c>
      <c r="T45" s="3">
        <f>IF(AND(VLOOKUP(T$1,test!$A$3:$F$32,5,FALSE) - VLOOKUP($B45,test!$A$3:$G$32,6,FALSE) &gt;= (test!$B$34)/1440),1,0)</f>
        <v>0</v>
      </c>
      <c r="U45" s="3">
        <f>IF(AND(VLOOKUP(U$1,test!$A$3:$F$32,5,FALSE) - VLOOKUP($B45,test!$A$3:$G$32,6,FALSE) &gt;= (test!$B$34)/1440),1,0)</f>
        <v>0</v>
      </c>
      <c r="V45" s="3">
        <f>IF(AND(VLOOKUP(V$1,test!$A$3:$F$32,5,FALSE) - VLOOKUP($B45,test!$A$3:$G$32,6,FALSE) &gt;= (test!$B$34)/1440),1,0)</f>
        <v>0</v>
      </c>
      <c r="W45" s="3">
        <f>IF(AND(VLOOKUP(W$1,test!$A$3:$F$32,5,FALSE) - VLOOKUP($B45,test!$A$3:$G$32,6,FALSE) &gt;= (test!$B$34)/1440),1,0)</f>
        <v>0</v>
      </c>
      <c r="X45" s="3">
        <f>IF(AND(VLOOKUP(X$1,test!$A$3:$F$32,5,FALSE) - VLOOKUP($B45,test!$A$3:$G$32,6,FALSE) &gt;= (test!$B$34)/1440),1,0)</f>
        <v>0</v>
      </c>
      <c r="Y45" s="3">
        <f>IF(AND(VLOOKUP(Y$1,test!$A$3:$F$32,5,FALSE) - VLOOKUP($B45,test!$A$3:$G$32,6,FALSE) &gt;= (test!$B$34)/1440),1,0)</f>
        <v>0</v>
      </c>
      <c r="Z45" s="3">
        <f>IF(AND(VLOOKUP(Z$1,test!$A$3:$F$32,5,FALSE) - VLOOKUP($B45,test!$A$3:$G$32,6,FALSE) &gt;= (test!$B$34)/1440),1,0)</f>
        <v>0</v>
      </c>
      <c r="AA45" s="3">
        <f>IF(AND(VLOOKUP(AA$1,test!$A$3:$F$32,5,FALSE) - VLOOKUP($B45,test!$A$3:$G$32,6,FALSE) &gt;= (test!$B$34)/1440),1,0)</f>
        <v>0</v>
      </c>
      <c r="AB45" s="3">
        <f>IF(AND(VLOOKUP(AB$1,test!$A$3:$F$32,5,FALSE) - VLOOKUP($B45,test!$A$3:$G$32,6,FALSE) &gt;= (test!$B$34)/1440),1,0)</f>
        <v>0</v>
      </c>
      <c r="AC45" s="3">
        <f>IF(AND(VLOOKUP(AC$1,test!$A$3:$F$32,5,FALSE) - VLOOKUP($B45,test!$A$3:$G$32,6,FALSE) &gt;= (test!$B$34)/1440),1,0)</f>
        <v>0</v>
      </c>
      <c r="AD45" s="3">
        <f>IF(AND(VLOOKUP(AD$1,test!$A$3:$F$32,5,FALSE) - VLOOKUP($B45,test!$A$3:$G$32,6,FALSE) &gt;= (test!$B$34)/1440),1,0)</f>
        <v>0</v>
      </c>
      <c r="AE45" s="3">
        <f>IF(AND(VLOOKUP(AE$1,test!$A$3:$F$32,5,FALSE) - VLOOKUP($B45,test!$A$3:$G$32,6,FALSE) &gt;= (test!$B$34)/1440),1,0)</f>
        <v>0</v>
      </c>
      <c r="AF45" s="3">
        <f>IF(AND(VLOOKUP(AF$1,test!$A$3:$F$32,5,FALSE) - VLOOKUP($B45,test!$A$3:$G$32,6,FALSE) &gt;= (test!$B$34)/1440),1,0)</f>
        <v>0</v>
      </c>
      <c r="AG45" s="3">
        <f>IF(AND(VLOOKUP(AG$1,test!$A$3:$F$32,5,FALSE) - VLOOKUP($B45,test!$A$3:$G$32,6,FALSE) &gt;= (test!$B$34)/1440),1,0)</f>
        <v>0</v>
      </c>
    </row>
    <row r="46" spans="1:33" x14ac:dyDescent="0.25">
      <c r="A46" t="s">
        <v>59</v>
      </c>
      <c r="B46" t="s">
        <v>23</v>
      </c>
      <c r="C46">
        <v>0</v>
      </c>
      <c r="D46" s="3">
        <f>IF(AND(VLOOKUP(D$1,test!$A$3:$F$32,5,FALSE) - VLOOKUP($B46,test!$A$3:$G$32,6,FALSE) &gt;= (test!$B$34)/1440),1,0)</f>
        <v>0</v>
      </c>
      <c r="E46" s="3">
        <f>IF(AND(VLOOKUP(E$1,test!$A$3:$F$32,5,FALSE) - VLOOKUP($B46,test!$A$3:$G$32,6,FALSE) &gt;= (test!$B$34)/1440),1,0)</f>
        <v>0</v>
      </c>
      <c r="F46" s="3">
        <f>IF(AND(VLOOKUP(F$1,test!$A$3:$F$32,5,FALSE) - VLOOKUP($B46,test!$A$3:$G$32,6,FALSE) &gt;= (test!$B$34)/1440),1,0)</f>
        <v>0</v>
      </c>
      <c r="G46" s="3">
        <f>IF(AND(VLOOKUP(G$1,test!$A$3:$F$32,5,FALSE) - VLOOKUP($B46,test!$A$3:$G$32,6,FALSE) &gt;= (test!$B$34)/1440),1,0)</f>
        <v>0</v>
      </c>
      <c r="H46" s="3">
        <f>IF(AND(VLOOKUP(H$1,test!$A$3:$F$32,5,FALSE) - VLOOKUP($B46,test!$A$3:$G$32,6,FALSE) &gt;= (test!$B$34)/1440),1,0)</f>
        <v>0</v>
      </c>
      <c r="I46" s="3">
        <f>IF(AND(VLOOKUP(I$1,test!$A$3:$F$32,5,FALSE) - VLOOKUP($B46,test!$A$3:$G$32,6,FALSE) &gt;= (test!$B$34)/1440),1,0)</f>
        <v>0</v>
      </c>
      <c r="J46" s="3">
        <f>IF(AND(VLOOKUP(J$1,test!$A$3:$F$32,5,FALSE) - VLOOKUP($B46,test!$A$3:$G$32,6,FALSE) &gt;= (test!$B$34)/1440),1,0)</f>
        <v>0</v>
      </c>
      <c r="K46" s="3">
        <f>IF(AND(VLOOKUP(K$1,test!$A$3:$F$32,5,FALSE) - VLOOKUP($B46,test!$A$3:$G$32,6,FALSE) &gt;= (test!$B$34)/1440),1,0)</f>
        <v>0</v>
      </c>
      <c r="L46" s="3">
        <f>IF(AND(VLOOKUP(L$1,test!$A$3:$F$32,5,FALSE) - VLOOKUP($B46,test!$A$3:$G$32,6,FALSE) &gt;= (test!$B$34)/1440),1,0)</f>
        <v>0</v>
      </c>
      <c r="M46" s="3">
        <f>IF(AND(VLOOKUP(M$1,test!$A$3:$F$32,5,FALSE) - VLOOKUP($B46,test!$A$3:$G$32,6,FALSE) &gt;= (test!$B$34)/1440),1,0)</f>
        <v>0</v>
      </c>
      <c r="N46" s="3">
        <f>IF(AND(VLOOKUP(N$1,test!$A$3:$F$32,5,FALSE) - VLOOKUP($B46,test!$A$3:$G$32,6,FALSE) &gt;= (test!$B$34)/1440),1,0)</f>
        <v>0</v>
      </c>
      <c r="O46" s="3">
        <f>IF(AND(VLOOKUP(O$1,test!$A$3:$F$32,5,FALSE) - VLOOKUP($B46,test!$A$3:$G$32,6,FALSE) &gt;= (test!$B$34)/1440),1,0)</f>
        <v>0</v>
      </c>
      <c r="P46" s="3">
        <f>IF(AND(VLOOKUP(P$1,test!$A$3:$F$32,5,FALSE) - VLOOKUP($B46,test!$A$3:$G$32,6,FALSE) &gt;= (test!$B$34)/1440),1,0)</f>
        <v>0</v>
      </c>
      <c r="Q46" s="3">
        <f>IF(AND(VLOOKUP(Q$1,test!$A$3:$F$32,5,FALSE) - VLOOKUP($B46,test!$A$3:$G$32,6,FALSE) &gt;= (test!$B$34)/1440),1,0)</f>
        <v>0</v>
      </c>
      <c r="R46" s="3">
        <f>IF(AND(VLOOKUP(R$1,test!$A$3:$F$32,5,FALSE) - VLOOKUP($B46,test!$A$3:$G$32,6,FALSE) &gt;= (test!$B$34)/1440),1,0)</f>
        <v>0</v>
      </c>
      <c r="S46" s="3">
        <f>IF(AND(VLOOKUP(S$1,test!$A$3:$F$32,5,FALSE) - VLOOKUP($B46,test!$A$3:$G$32,6,FALSE) &gt;= (test!$B$34)/1440),1,0)</f>
        <v>0</v>
      </c>
      <c r="T46" s="3">
        <f>IF(AND(VLOOKUP(T$1,test!$A$3:$F$32,5,FALSE) - VLOOKUP($B46,test!$A$3:$G$32,6,FALSE) &gt;= (test!$B$34)/1440),1,0)</f>
        <v>0</v>
      </c>
      <c r="U46" s="3">
        <f>IF(AND(VLOOKUP(U$1,test!$A$3:$F$32,5,FALSE) - VLOOKUP($B46,test!$A$3:$G$32,6,FALSE) &gt;= (test!$B$34)/1440),1,0)</f>
        <v>0</v>
      </c>
      <c r="V46" s="3">
        <f>IF(AND(VLOOKUP(V$1,test!$A$3:$F$32,5,FALSE) - VLOOKUP($B46,test!$A$3:$G$32,6,FALSE) &gt;= (test!$B$34)/1440),1,0)</f>
        <v>0</v>
      </c>
      <c r="W46" s="3">
        <f>IF(AND(VLOOKUP(W$1,test!$A$3:$F$32,5,FALSE) - VLOOKUP($B46,test!$A$3:$G$32,6,FALSE) &gt;= (test!$B$34)/1440),1,0)</f>
        <v>0</v>
      </c>
      <c r="X46" s="3">
        <f>IF(AND(VLOOKUP(X$1,test!$A$3:$F$32,5,FALSE) - VLOOKUP($B46,test!$A$3:$G$32,6,FALSE) &gt;= (test!$B$34)/1440),1,0)</f>
        <v>0</v>
      </c>
      <c r="Y46" s="3">
        <f>IF(AND(VLOOKUP(Y$1,test!$A$3:$F$32,5,FALSE) - VLOOKUP($B46,test!$A$3:$G$32,6,FALSE) &gt;= (test!$B$34)/1440),1,0)</f>
        <v>0</v>
      </c>
      <c r="Z46" s="3">
        <f>IF(AND(VLOOKUP(Z$1,test!$A$3:$F$32,5,FALSE) - VLOOKUP($B46,test!$A$3:$G$32,6,FALSE) &gt;= (test!$B$34)/1440),1,0)</f>
        <v>0</v>
      </c>
      <c r="AA46" s="3">
        <f>IF(AND(VLOOKUP(AA$1,test!$A$3:$F$32,5,FALSE) - VLOOKUP($B46,test!$A$3:$G$32,6,FALSE) &gt;= (test!$B$34)/1440),1,0)</f>
        <v>0</v>
      </c>
      <c r="AB46" s="3">
        <f>IF(AND(VLOOKUP(AB$1,test!$A$3:$F$32,5,FALSE) - VLOOKUP($B46,test!$A$3:$G$32,6,FALSE) &gt;= (test!$B$34)/1440),1,0)</f>
        <v>0</v>
      </c>
      <c r="AC46" s="3">
        <f>IF(AND(VLOOKUP(AC$1,test!$A$3:$F$32,5,FALSE) - VLOOKUP($B46,test!$A$3:$G$32,6,FALSE) &gt;= (test!$B$34)/1440),1,0)</f>
        <v>0</v>
      </c>
      <c r="AD46" s="3">
        <f>IF(AND(VLOOKUP(AD$1,test!$A$3:$F$32,5,FALSE) - VLOOKUP($B46,test!$A$3:$G$32,6,FALSE) &gt;= (test!$B$34)/1440),1,0)</f>
        <v>0</v>
      </c>
      <c r="AE46" s="3">
        <f>IF(AND(VLOOKUP(AE$1,test!$A$3:$F$32,5,FALSE) - VLOOKUP($B46,test!$A$3:$G$32,6,FALSE) &gt;= (test!$B$34)/1440),1,0)</f>
        <v>0</v>
      </c>
      <c r="AF46" s="3">
        <f>IF(AND(VLOOKUP(AF$1,test!$A$3:$F$32,5,FALSE) - VLOOKUP($B46,test!$A$3:$G$32,6,FALSE) &gt;= (test!$B$34)/1440),1,0)</f>
        <v>0</v>
      </c>
      <c r="AG46" s="3">
        <f>IF(AND(VLOOKUP(AG$1,test!$A$3:$F$32,5,FALSE) - VLOOKUP($B46,test!$A$3:$G$32,6,FALSE) &gt;= (test!$B$34)/1440),1,0)</f>
        <v>0</v>
      </c>
    </row>
    <row r="47" spans="1:33" x14ac:dyDescent="0.25">
      <c r="A47" t="s">
        <v>59</v>
      </c>
      <c r="B47" t="s">
        <v>24</v>
      </c>
      <c r="C47">
        <v>0</v>
      </c>
      <c r="D47" s="3">
        <f>IF(AND(VLOOKUP(D$1,test!$A$3:$F$32,5,FALSE) - VLOOKUP($B47,test!$A$3:$G$32,6,FALSE) &gt;= (test!$B$34)/1440),1,0)</f>
        <v>0</v>
      </c>
      <c r="E47" s="3">
        <f>IF(AND(VLOOKUP(E$1,test!$A$3:$F$32,5,FALSE) - VLOOKUP($B47,test!$A$3:$G$32,6,FALSE) &gt;= (test!$B$34)/1440),1,0)</f>
        <v>0</v>
      </c>
      <c r="F47" s="3">
        <f>IF(AND(VLOOKUP(F$1,test!$A$3:$F$32,5,FALSE) - VLOOKUP($B47,test!$A$3:$G$32,6,FALSE) &gt;= (test!$B$34)/1440),1,0)</f>
        <v>0</v>
      </c>
      <c r="G47" s="3">
        <f>IF(AND(VLOOKUP(G$1,test!$A$3:$F$32,5,FALSE) - VLOOKUP($B47,test!$A$3:$G$32,6,FALSE) &gt;= (test!$B$34)/1440),1,0)</f>
        <v>1</v>
      </c>
      <c r="H47" s="3">
        <f>IF(AND(VLOOKUP(H$1,test!$A$3:$F$32,5,FALSE) - VLOOKUP($B47,test!$A$3:$G$32,6,FALSE) &gt;= (test!$B$34)/1440),1,0)</f>
        <v>1</v>
      </c>
      <c r="I47" s="3">
        <f>IF(AND(VLOOKUP(I$1,test!$A$3:$F$32,5,FALSE) - VLOOKUP($B47,test!$A$3:$G$32,6,FALSE) &gt;= (test!$B$34)/1440),1,0)</f>
        <v>1</v>
      </c>
      <c r="J47" s="3">
        <f>IF(AND(VLOOKUP(J$1,test!$A$3:$F$32,5,FALSE) - VLOOKUP($B47,test!$A$3:$G$32,6,FALSE) &gt;= (test!$B$34)/1440),1,0)</f>
        <v>1</v>
      </c>
      <c r="K47" s="3">
        <f>IF(AND(VLOOKUP(K$1,test!$A$3:$F$32,5,FALSE) - VLOOKUP($B47,test!$A$3:$G$32,6,FALSE) &gt;= (test!$B$34)/1440),1,0)</f>
        <v>1</v>
      </c>
      <c r="L47" s="3">
        <f>IF(AND(VLOOKUP(L$1,test!$A$3:$F$32,5,FALSE) - VLOOKUP($B47,test!$A$3:$G$32,6,FALSE) &gt;= (test!$B$34)/1440),1,0)</f>
        <v>0</v>
      </c>
      <c r="M47" s="3">
        <f>IF(AND(VLOOKUP(M$1,test!$A$3:$F$32,5,FALSE) - VLOOKUP($B47,test!$A$3:$G$32,6,FALSE) &gt;= (test!$B$34)/1440),1,0)</f>
        <v>0</v>
      </c>
      <c r="N47" s="3">
        <f>IF(AND(VLOOKUP(N$1,test!$A$3:$F$32,5,FALSE) - VLOOKUP($B47,test!$A$3:$G$32,6,FALSE) &gt;= (test!$B$34)/1440),1,0)</f>
        <v>0</v>
      </c>
      <c r="O47" s="3">
        <f>IF(AND(VLOOKUP(O$1,test!$A$3:$F$32,5,FALSE) - VLOOKUP($B47,test!$A$3:$G$32,6,FALSE) &gt;= (test!$B$34)/1440),1,0)</f>
        <v>1</v>
      </c>
      <c r="P47" s="3">
        <f>IF(AND(VLOOKUP(P$1,test!$A$3:$F$32,5,FALSE) - VLOOKUP($B47,test!$A$3:$G$32,6,FALSE) &gt;= (test!$B$34)/1440),1,0)</f>
        <v>1</v>
      </c>
      <c r="Q47" s="3">
        <f>IF(AND(VLOOKUP(Q$1,test!$A$3:$F$32,5,FALSE) - VLOOKUP($B47,test!$A$3:$G$32,6,FALSE) &gt;= (test!$B$34)/1440),1,0)</f>
        <v>0</v>
      </c>
      <c r="R47" s="3">
        <f>IF(AND(VLOOKUP(R$1,test!$A$3:$F$32,5,FALSE) - VLOOKUP($B47,test!$A$3:$G$32,6,FALSE) &gt;= (test!$B$34)/1440),1,0)</f>
        <v>0</v>
      </c>
      <c r="S47" s="3">
        <f>IF(AND(VLOOKUP(S$1,test!$A$3:$F$32,5,FALSE) - VLOOKUP($B47,test!$A$3:$G$32,6,FALSE) &gt;= (test!$B$34)/1440),1,0)</f>
        <v>0</v>
      </c>
      <c r="T47" s="3">
        <f>IF(AND(VLOOKUP(T$1,test!$A$3:$F$32,5,FALSE) - VLOOKUP($B47,test!$A$3:$G$32,6,FALSE) &gt;= (test!$B$34)/1440),1,0)</f>
        <v>0</v>
      </c>
      <c r="U47" s="3">
        <f>IF(AND(VLOOKUP(U$1,test!$A$3:$F$32,5,FALSE) - VLOOKUP($B47,test!$A$3:$G$32,6,FALSE) &gt;= (test!$B$34)/1440),1,0)</f>
        <v>0</v>
      </c>
      <c r="V47" s="3">
        <f>IF(AND(VLOOKUP(V$1,test!$A$3:$F$32,5,FALSE) - VLOOKUP($B47,test!$A$3:$G$32,6,FALSE) &gt;= (test!$B$34)/1440),1,0)</f>
        <v>1</v>
      </c>
      <c r="W47" s="3">
        <f>IF(AND(VLOOKUP(W$1,test!$A$3:$F$32,5,FALSE) - VLOOKUP($B47,test!$A$3:$G$32,6,FALSE) &gt;= (test!$B$34)/1440),1,0)</f>
        <v>1</v>
      </c>
      <c r="X47" s="3">
        <f>IF(AND(VLOOKUP(X$1,test!$A$3:$F$32,5,FALSE) - VLOOKUP($B47,test!$A$3:$G$32,6,FALSE) &gt;= (test!$B$34)/1440),1,0)</f>
        <v>1</v>
      </c>
      <c r="Y47" s="3">
        <f>IF(AND(VLOOKUP(Y$1,test!$A$3:$F$32,5,FALSE) - VLOOKUP($B47,test!$A$3:$G$32,6,FALSE) &gt;= (test!$B$34)/1440),1,0)</f>
        <v>1</v>
      </c>
      <c r="Z47" s="3">
        <f>IF(AND(VLOOKUP(Z$1,test!$A$3:$F$32,5,FALSE) - VLOOKUP($B47,test!$A$3:$G$32,6,FALSE) &gt;= (test!$B$34)/1440),1,0)</f>
        <v>0</v>
      </c>
      <c r="AA47" s="3">
        <f>IF(AND(VLOOKUP(AA$1,test!$A$3:$F$32,5,FALSE) - VLOOKUP($B47,test!$A$3:$G$32,6,FALSE) &gt;= (test!$B$34)/1440),1,0)</f>
        <v>0</v>
      </c>
      <c r="AB47" s="3">
        <f>IF(AND(VLOOKUP(AB$1,test!$A$3:$F$32,5,FALSE) - VLOOKUP($B47,test!$A$3:$G$32,6,FALSE) &gt;= (test!$B$34)/1440),1,0)</f>
        <v>1</v>
      </c>
      <c r="AC47" s="3">
        <f>IF(AND(VLOOKUP(AC$1,test!$A$3:$F$32,5,FALSE) - VLOOKUP($B47,test!$A$3:$G$32,6,FALSE) &gt;= (test!$B$34)/1440),1,0)</f>
        <v>1</v>
      </c>
      <c r="AD47" s="3">
        <f>IF(AND(VLOOKUP(AD$1,test!$A$3:$F$32,5,FALSE) - VLOOKUP($B47,test!$A$3:$G$32,6,FALSE) &gt;= (test!$B$34)/1440),1,0)</f>
        <v>1</v>
      </c>
      <c r="AE47" s="3">
        <f>IF(AND(VLOOKUP(AE$1,test!$A$3:$F$32,5,FALSE) - VLOOKUP($B47,test!$A$3:$G$32,6,FALSE) &gt;= (test!$B$34)/1440),1,0)</f>
        <v>0</v>
      </c>
      <c r="AF47" s="3">
        <f>IF(AND(VLOOKUP(AF$1,test!$A$3:$F$32,5,FALSE) - VLOOKUP($B47,test!$A$3:$G$32,6,FALSE) &gt;= (test!$B$34)/1440),1,0)</f>
        <v>1</v>
      </c>
      <c r="AG47" s="3">
        <f>IF(AND(VLOOKUP(AG$1,test!$A$3:$F$32,5,FALSE) - VLOOKUP($B47,test!$A$3:$G$32,6,FALSE) &gt;= (test!$B$34)/1440),1,0)</f>
        <v>0</v>
      </c>
    </row>
    <row r="48" spans="1:33" x14ac:dyDescent="0.25">
      <c r="A48" t="s">
        <v>59</v>
      </c>
      <c r="B48" t="s">
        <v>26</v>
      </c>
      <c r="C48">
        <v>0</v>
      </c>
      <c r="D48" s="3">
        <f>IF(AND(VLOOKUP(D$1,test!$A$3:$F$32,5,FALSE) - VLOOKUP($B48,test!$A$3:$G$32,6,FALSE) &gt;= (test!$B$34)/1440),1,0)</f>
        <v>0</v>
      </c>
      <c r="E48" s="3">
        <f>IF(AND(VLOOKUP(E$1,test!$A$3:$F$32,5,FALSE) - VLOOKUP($B48,test!$A$3:$G$32,6,FALSE) &gt;= (test!$B$34)/1440),1,0)</f>
        <v>0</v>
      </c>
      <c r="F48" s="3">
        <f>IF(AND(VLOOKUP(F$1,test!$A$3:$F$32,5,FALSE) - VLOOKUP($B48,test!$A$3:$G$32,6,FALSE) &gt;= (test!$B$34)/1440),1,0)</f>
        <v>1</v>
      </c>
      <c r="G48" s="3">
        <f>IF(AND(VLOOKUP(G$1,test!$A$3:$F$32,5,FALSE) - VLOOKUP($B48,test!$A$3:$G$32,6,FALSE) &gt;= (test!$B$34)/1440),1,0)</f>
        <v>1</v>
      </c>
      <c r="H48" s="3">
        <f>IF(AND(VLOOKUP(H$1,test!$A$3:$F$32,5,FALSE) - VLOOKUP($B48,test!$A$3:$G$32,6,FALSE) &gt;= (test!$B$34)/1440),1,0)</f>
        <v>1</v>
      </c>
      <c r="I48" s="3">
        <f>IF(AND(VLOOKUP(I$1,test!$A$3:$F$32,5,FALSE) - VLOOKUP($B48,test!$A$3:$G$32,6,FALSE) &gt;= (test!$B$34)/1440),1,0)</f>
        <v>1</v>
      </c>
      <c r="J48" s="3">
        <f>IF(AND(VLOOKUP(J$1,test!$A$3:$F$32,5,FALSE) - VLOOKUP($B48,test!$A$3:$G$32,6,FALSE) &gt;= (test!$B$34)/1440),1,0)</f>
        <v>1</v>
      </c>
      <c r="K48" s="3">
        <f>IF(AND(VLOOKUP(K$1,test!$A$3:$F$32,5,FALSE) - VLOOKUP($B48,test!$A$3:$G$32,6,FALSE) &gt;= (test!$B$34)/1440),1,0)</f>
        <v>1</v>
      </c>
      <c r="L48" s="3">
        <f>IF(AND(VLOOKUP(L$1,test!$A$3:$F$32,5,FALSE) - VLOOKUP($B48,test!$A$3:$G$32,6,FALSE) &gt;= (test!$B$34)/1440),1,0)</f>
        <v>0</v>
      </c>
      <c r="M48" s="3">
        <f>IF(AND(VLOOKUP(M$1,test!$A$3:$F$32,5,FALSE) - VLOOKUP($B48,test!$A$3:$G$32,6,FALSE) &gt;= (test!$B$34)/1440),1,0)</f>
        <v>0</v>
      </c>
      <c r="N48" s="3">
        <f>IF(AND(VLOOKUP(N$1,test!$A$3:$F$32,5,FALSE) - VLOOKUP($B48,test!$A$3:$G$32,6,FALSE) &gt;= (test!$B$34)/1440),1,0)</f>
        <v>1</v>
      </c>
      <c r="O48" s="3">
        <f>IF(AND(VLOOKUP(O$1,test!$A$3:$F$32,5,FALSE) - VLOOKUP($B48,test!$A$3:$G$32,6,FALSE) &gt;= (test!$B$34)/1440),1,0)</f>
        <v>1</v>
      </c>
      <c r="P48" s="3">
        <f>IF(AND(VLOOKUP(P$1,test!$A$3:$F$32,5,FALSE) - VLOOKUP($B48,test!$A$3:$G$32,6,FALSE) &gt;= (test!$B$34)/1440),1,0)</f>
        <v>1</v>
      </c>
      <c r="Q48" s="3">
        <f>IF(AND(VLOOKUP(Q$1,test!$A$3:$F$32,5,FALSE) - VLOOKUP($B48,test!$A$3:$G$32,6,FALSE) &gt;= (test!$B$34)/1440),1,0)</f>
        <v>0</v>
      </c>
      <c r="R48" s="3">
        <f>IF(AND(VLOOKUP(R$1,test!$A$3:$F$32,5,FALSE) - VLOOKUP($B48,test!$A$3:$G$32,6,FALSE) &gt;= (test!$B$34)/1440),1,0)</f>
        <v>0</v>
      </c>
      <c r="S48" s="3">
        <f>IF(AND(VLOOKUP(S$1,test!$A$3:$F$32,5,FALSE) - VLOOKUP($B48,test!$A$3:$G$32,6,FALSE) &gt;= (test!$B$34)/1440),1,0)</f>
        <v>0</v>
      </c>
      <c r="T48" s="3">
        <f>IF(AND(VLOOKUP(T$1,test!$A$3:$F$32,5,FALSE) - VLOOKUP($B48,test!$A$3:$G$32,6,FALSE) &gt;= (test!$B$34)/1440),1,0)</f>
        <v>0</v>
      </c>
      <c r="U48" s="3">
        <f>IF(AND(VLOOKUP(U$1,test!$A$3:$F$32,5,FALSE) - VLOOKUP($B48,test!$A$3:$G$32,6,FALSE) &gt;= (test!$B$34)/1440),1,0)</f>
        <v>1</v>
      </c>
      <c r="V48" s="3">
        <f>IF(AND(VLOOKUP(V$1,test!$A$3:$F$32,5,FALSE) - VLOOKUP($B48,test!$A$3:$G$32,6,FALSE) &gt;= (test!$B$34)/1440),1,0)</f>
        <v>1</v>
      </c>
      <c r="W48" s="3">
        <f>IF(AND(VLOOKUP(W$1,test!$A$3:$F$32,5,FALSE) - VLOOKUP($B48,test!$A$3:$G$32,6,FALSE) &gt;= (test!$B$34)/1440),1,0)</f>
        <v>1</v>
      </c>
      <c r="X48" s="3">
        <f>IF(AND(VLOOKUP(X$1,test!$A$3:$F$32,5,FALSE) - VLOOKUP($B48,test!$A$3:$G$32,6,FALSE) &gt;= (test!$B$34)/1440),1,0)</f>
        <v>1</v>
      </c>
      <c r="Y48" s="3">
        <f>IF(AND(VLOOKUP(Y$1,test!$A$3:$F$32,5,FALSE) - VLOOKUP($B48,test!$A$3:$G$32,6,FALSE) &gt;= (test!$B$34)/1440),1,0)</f>
        <v>1</v>
      </c>
      <c r="Z48" s="3">
        <f>IF(AND(VLOOKUP(Z$1,test!$A$3:$F$32,5,FALSE) - VLOOKUP($B48,test!$A$3:$G$32,6,FALSE) &gt;= (test!$B$34)/1440),1,0)</f>
        <v>0</v>
      </c>
      <c r="AA48" s="3">
        <f>IF(AND(VLOOKUP(AA$1,test!$A$3:$F$32,5,FALSE) - VLOOKUP($B48,test!$A$3:$G$32,6,FALSE) &gt;= (test!$B$34)/1440),1,0)</f>
        <v>0</v>
      </c>
      <c r="AB48" s="3">
        <f>IF(AND(VLOOKUP(AB$1,test!$A$3:$F$32,5,FALSE) - VLOOKUP($B48,test!$A$3:$G$32,6,FALSE) &gt;= (test!$B$34)/1440),1,0)</f>
        <v>1</v>
      </c>
      <c r="AC48" s="3">
        <f>IF(AND(VLOOKUP(AC$1,test!$A$3:$F$32,5,FALSE) - VLOOKUP($B48,test!$A$3:$G$32,6,FALSE) &gt;= (test!$B$34)/1440),1,0)</f>
        <v>1</v>
      </c>
      <c r="AD48" s="3">
        <f>IF(AND(VLOOKUP(AD$1,test!$A$3:$F$32,5,FALSE) - VLOOKUP($B48,test!$A$3:$G$32,6,FALSE) &gt;= (test!$B$34)/1440),1,0)</f>
        <v>1</v>
      </c>
      <c r="AE48" s="3">
        <f>IF(AND(VLOOKUP(AE$1,test!$A$3:$F$32,5,FALSE) - VLOOKUP($B48,test!$A$3:$G$32,6,FALSE) &gt;= (test!$B$34)/1440),1,0)</f>
        <v>0</v>
      </c>
      <c r="AF48" s="3">
        <f>IF(AND(VLOOKUP(AF$1,test!$A$3:$F$32,5,FALSE) - VLOOKUP($B48,test!$A$3:$G$32,6,FALSE) &gt;= (test!$B$34)/1440),1,0)</f>
        <v>1</v>
      </c>
      <c r="AG48" s="3">
        <f>IF(AND(VLOOKUP(AG$1,test!$A$3:$F$32,5,FALSE) - VLOOKUP($B48,test!$A$3:$G$32,6,FALSE) &gt;= (test!$B$34)/1440),1,0)</f>
        <v>1</v>
      </c>
    </row>
    <row r="49" spans="1:33" x14ac:dyDescent="0.25">
      <c r="A49" t="s">
        <v>59</v>
      </c>
      <c r="B49" t="s">
        <v>27</v>
      </c>
      <c r="C49">
        <v>0</v>
      </c>
      <c r="D49" s="3">
        <f>IF(AND(VLOOKUP(D$1,test!$A$3:$F$32,5,FALSE) - VLOOKUP($B49,test!$A$3:$G$32,6,FALSE) &gt;= (test!$B$34)/1440),1,0)</f>
        <v>0</v>
      </c>
      <c r="E49" s="3">
        <f>IF(AND(VLOOKUP(E$1,test!$A$3:$F$32,5,FALSE) - VLOOKUP($B49,test!$A$3:$G$32,6,FALSE) &gt;= (test!$B$34)/1440),1,0)</f>
        <v>0</v>
      </c>
      <c r="F49" s="3">
        <f>IF(AND(VLOOKUP(F$1,test!$A$3:$F$32,5,FALSE) - VLOOKUP($B49,test!$A$3:$G$32,6,FALSE) &gt;= (test!$B$34)/1440),1,0)</f>
        <v>0</v>
      </c>
      <c r="G49" s="3">
        <f>IF(AND(VLOOKUP(G$1,test!$A$3:$F$32,5,FALSE) - VLOOKUP($B49,test!$A$3:$G$32,6,FALSE) &gt;= (test!$B$34)/1440),1,0)</f>
        <v>1</v>
      </c>
      <c r="H49" s="3">
        <f>IF(AND(VLOOKUP(H$1,test!$A$3:$F$32,5,FALSE) - VLOOKUP($B49,test!$A$3:$G$32,6,FALSE) &gt;= (test!$B$34)/1440),1,0)</f>
        <v>1</v>
      </c>
      <c r="I49" s="3">
        <f>IF(AND(VLOOKUP(I$1,test!$A$3:$F$32,5,FALSE) - VLOOKUP($B49,test!$A$3:$G$32,6,FALSE) &gt;= (test!$B$34)/1440),1,0)</f>
        <v>1</v>
      </c>
      <c r="J49" s="3">
        <f>IF(AND(VLOOKUP(J$1,test!$A$3:$F$32,5,FALSE) - VLOOKUP($B49,test!$A$3:$G$32,6,FALSE) &gt;= (test!$B$34)/1440),1,0)</f>
        <v>1</v>
      </c>
      <c r="K49" s="3">
        <f>IF(AND(VLOOKUP(K$1,test!$A$3:$F$32,5,FALSE) - VLOOKUP($B49,test!$A$3:$G$32,6,FALSE) &gt;= (test!$B$34)/1440),1,0)</f>
        <v>1</v>
      </c>
      <c r="L49" s="3">
        <f>IF(AND(VLOOKUP(L$1,test!$A$3:$F$32,5,FALSE) - VLOOKUP($B49,test!$A$3:$G$32,6,FALSE) &gt;= (test!$B$34)/1440),1,0)</f>
        <v>0</v>
      </c>
      <c r="M49" s="3">
        <f>IF(AND(VLOOKUP(M$1,test!$A$3:$F$32,5,FALSE) - VLOOKUP($B49,test!$A$3:$G$32,6,FALSE) &gt;= (test!$B$34)/1440),1,0)</f>
        <v>0</v>
      </c>
      <c r="N49" s="3">
        <f>IF(AND(VLOOKUP(N$1,test!$A$3:$F$32,5,FALSE) - VLOOKUP($B49,test!$A$3:$G$32,6,FALSE) &gt;= (test!$B$34)/1440),1,0)</f>
        <v>0</v>
      </c>
      <c r="O49" s="3">
        <f>IF(AND(VLOOKUP(O$1,test!$A$3:$F$32,5,FALSE) - VLOOKUP($B49,test!$A$3:$G$32,6,FALSE) &gt;= (test!$B$34)/1440),1,0)</f>
        <v>1</v>
      </c>
      <c r="P49" s="3">
        <f>IF(AND(VLOOKUP(P$1,test!$A$3:$F$32,5,FALSE) - VLOOKUP($B49,test!$A$3:$G$32,6,FALSE) &gt;= (test!$B$34)/1440),1,0)</f>
        <v>1</v>
      </c>
      <c r="Q49" s="3">
        <f>IF(AND(VLOOKUP(Q$1,test!$A$3:$F$32,5,FALSE) - VLOOKUP($B49,test!$A$3:$G$32,6,FALSE) &gt;= (test!$B$34)/1440),1,0)</f>
        <v>0</v>
      </c>
      <c r="R49" s="3">
        <f>IF(AND(VLOOKUP(R$1,test!$A$3:$F$32,5,FALSE) - VLOOKUP($B49,test!$A$3:$G$32,6,FALSE) &gt;= (test!$B$34)/1440),1,0)</f>
        <v>0</v>
      </c>
      <c r="S49" s="3">
        <f>IF(AND(VLOOKUP(S$1,test!$A$3:$F$32,5,FALSE) - VLOOKUP($B49,test!$A$3:$G$32,6,FALSE) &gt;= (test!$B$34)/1440),1,0)</f>
        <v>0</v>
      </c>
      <c r="T49" s="3">
        <f>IF(AND(VLOOKUP(T$1,test!$A$3:$F$32,5,FALSE) - VLOOKUP($B49,test!$A$3:$G$32,6,FALSE) &gt;= (test!$B$34)/1440),1,0)</f>
        <v>0</v>
      </c>
      <c r="U49" s="3">
        <f>IF(AND(VLOOKUP(U$1,test!$A$3:$F$32,5,FALSE) - VLOOKUP($B49,test!$A$3:$G$32,6,FALSE) &gt;= (test!$B$34)/1440),1,0)</f>
        <v>0</v>
      </c>
      <c r="V49" s="3">
        <f>IF(AND(VLOOKUP(V$1,test!$A$3:$F$32,5,FALSE) - VLOOKUP($B49,test!$A$3:$G$32,6,FALSE) &gt;= (test!$B$34)/1440),1,0)</f>
        <v>1</v>
      </c>
      <c r="W49" s="3">
        <f>IF(AND(VLOOKUP(W$1,test!$A$3:$F$32,5,FALSE) - VLOOKUP($B49,test!$A$3:$G$32,6,FALSE) &gt;= (test!$B$34)/1440),1,0)</f>
        <v>1</v>
      </c>
      <c r="X49" s="3">
        <f>IF(AND(VLOOKUP(X$1,test!$A$3:$F$32,5,FALSE) - VLOOKUP($B49,test!$A$3:$G$32,6,FALSE) &gt;= (test!$B$34)/1440),1,0)</f>
        <v>1</v>
      </c>
      <c r="Y49" s="3">
        <f>IF(AND(VLOOKUP(Y$1,test!$A$3:$F$32,5,FALSE) - VLOOKUP($B49,test!$A$3:$G$32,6,FALSE) &gt;= (test!$B$34)/1440),1,0)</f>
        <v>1</v>
      </c>
      <c r="Z49" s="3">
        <f>IF(AND(VLOOKUP(Z$1,test!$A$3:$F$32,5,FALSE) - VLOOKUP($B49,test!$A$3:$G$32,6,FALSE) &gt;= (test!$B$34)/1440),1,0)</f>
        <v>0</v>
      </c>
      <c r="AA49" s="3">
        <f>IF(AND(VLOOKUP(AA$1,test!$A$3:$F$32,5,FALSE) - VLOOKUP($B49,test!$A$3:$G$32,6,FALSE) &gt;= (test!$B$34)/1440),1,0)</f>
        <v>0</v>
      </c>
      <c r="AB49" s="3">
        <f>IF(AND(VLOOKUP(AB$1,test!$A$3:$F$32,5,FALSE) - VLOOKUP($B49,test!$A$3:$G$32,6,FALSE) &gt;= (test!$B$34)/1440),1,0)</f>
        <v>1</v>
      </c>
      <c r="AC49" s="3">
        <f>IF(AND(VLOOKUP(AC$1,test!$A$3:$F$32,5,FALSE) - VLOOKUP($B49,test!$A$3:$G$32,6,FALSE) &gt;= (test!$B$34)/1440),1,0)</f>
        <v>1</v>
      </c>
      <c r="AD49" s="3">
        <f>IF(AND(VLOOKUP(AD$1,test!$A$3:$F$32,5,FALSE) - VLOOKUP($B49,test!$A$3:$G$32,6,FALSE) &gt;= (test!$B$34)/1440),1,0)</f>
        <v>1</v>
      </c>
      <c r="AE49" s="3">
        <f>IF(AND(VLOOKUP(AE$1,test!$A$3:$F$32,5,FALSE) - VLOOKUP($B49,test!$A$3:$G$32,6,FALSE) &gt;= (test!$B$34)/1440),1,0)</f>
        <v>0</v>
      </c>
      <c r="AF49" s="3">
        <f>IF(AND(VLOOKUP(AF$1,test!$A$3:$F$32,5,FALSE) - VLOOKUP($B49,test!$A$3:$G$32,6,FALSE) &gt;= (test!$B$34)/1440),1,0)</f>
        <v>1</v>
      </c>
      <c r="AG49" s="3">
        <f>IF(AND(VLOOKUP(AG$1,test!$A$3:$F$32,5,FALSE) - VLOOKUP($B49,test!$A$3:$G$32,6,FALSE) &gt;= (test!$B$34)/1440),1,0)</f>
        <v>0</v>
      </c>
    </row>
    <row r="50" spans="1:33" x14ac:dyDescent="0.25">
      <c r="A50" t="s">
        <v>59</v>
      </c>
      <c r="B50" t="s">
        <v>28</v>
      </c>
      <c r="C50">
        <v>0</v>
      </c>
      <c r="D50" s="3">
        <f>IF(AND(VLOOKUP(D$1,test!$A$3:$F$32,5,FALSE) - VLOOKUP($B50,test!$A$3:$G$32,6,FALSE) &gt;= (test!$B$34)/1440),1,0)</f>
        <v>0</v>
      </c>
      <c r="E50" s="3">
        <f>IF(AND(VLOOKUP(E$1,test!$A$3:$F$32,5,FALSE) - VLOOKUP($B50,test!$A$3:$G$32,6,FALSE) &gt;= (test!$B$34)/1440),1,0)</f>
        <v>0</v>
      </c>
      <c r="F50" s="3">
        <f>IF(AND(VLOOKUP(F$1,test!$A$3:$F$32,5,FALSE) - VLOOKUP($B50,test!$A$3:$G$32,6,FALSE) &gt;= (test!$B$34)/1440),1,0)</f>
        <v>0</v>
      </c>
      <c r="G50" s="3">
        <f>IF(AND(VLOOKUP(G$1,test!$A$3:$F$32,5,FALSE) - VLOOKUP($B50,test!$A$3:$G$32,6,FALSE) &gt;= (test!$B$34)/1440),1,0)</f>
        <v>0</v>
      </c>
      <c r="H50" s="3">
        <f>IF(AND(VLOOKUP(H$1,test!$A$3:$F$32,5,FALSE) - VLOOKUP($B50,test!$A$3:$G$32,6,FALSE) &gt;= (test!$B$34)/1440),1,0)</f>
        <v>1</v>
      </c>
      <c r="I50" s="3">
        <f>IF(AND(VLOOKUP(I$1,test!$A$3:$F$32,5,FALSE) - VLOOKUP($B50,test!$A$3:$G$32,6,FALSE) &gt;= (test!$B$34)/1440),1,0)</f>
        <v>1</v>
      </c>
      <c r="J50" s="3">
        <f>IF(AND(VLOOKUP(J$1,test!$A$3:$F$32,5,FALSE) - VLOOKUP($B50,test!$A$3:$G$32,6,FALSE) &gt;= (test!$B$34)/1440),1,0)</f>
        <v>1</v>
      </c>
      <c r="K50" s="3">
        <f>IF(AND(VLOOKUP(K$1,test!$A$3:$F$32,5,FALSE) - VLOOKUP($B50,test!$A$3:$G$32,6,FALSE) &gt;= (test!$B$34)/1440),1,0)</f>
        <v>1</v>
      </c>
      <c r="L50" s="3">
        <f>IF(AND(VLOOKUP(L$1,test!$A$3:$F$32,5,FALSE) - VLOOKUP($B50,test!$A$3:$G$32,6,FALSE) &gt;= (test!$B$34)/1440),1,0)</f>
        <v>0</v>
      </c>
      <c r="M50" s="3">
        <f>IF(AND(VLOOKUP(M$1,test!$A$3:$F$32,5,FALSE) - VLOOKUP($B50,test!$A$3:$G$32,6,FALSE) &gt;= (test!$B$34)/1440),1,0)</f>
        <v>0</v>
      </c>
      <c r="N50" s="3">
        <f>IF(AND(VLOOKUP(N$1,test!$A$3:$F$32,5,FALSE) - VLOOKUP($B50,test!$A$3:$G$32,6,FALSE) &gt;= (test!$B$34)/1440),1,0)</f>
        <v>0</v>
      </c>
      <c r="O50" s="3">
        <f>IF(AND(VLOOKUP(O$1,test!$A$3:$F$32,5,FALSE) - VLOOKUP($B50,test!$A$3:$G$32,6,FALSE) &gt;= (test!$B$34)/1440),1,0)</f>
        <v>1</v>
      </c>
      <c r="P50" s="3">
        <f>IF(AND(VLOOKUP(P$1,test!$A$3:$F$32,5,FALSE) - VLOOKUP($B50,test!$A$3:$G$32,6,FALSE) &gt;= (test!$B$34)/1440),1,0)</f>
        <v>1</v>
      </c>
      <c r="Q50" s="3">
        <f>IF(AND(VLOOKUP(Q$1,test!$A$3:$F$32,5,FALSE) - VLOOKUP($B50,test!$A$3:$G$32,6,FALSE) &gt;= (test!$B$34)/1440),1,0)</f>
        <v>0</v>
      </c>
      <c r="R50" s="3">
        <f>IF(AND(VLOOKUP(R$1,test!$A$3:$F$32,5,FALSE) - VLOOKUP($B50,test!$A$3:$G$32,6,FALSE) &gt;= (test!$B$34)/1440),1,0)</f>
        <v>0</v>
      </c>
      <c r="S50" s="3">
        <f>IF(AND(VLOOKUP(S$1,test!$A$3:$F$32,5,FALSE) - VLOOKUP($B50,test!$A$3:$G$32,6,FALSE) &gt;= (test!$B$34)/1440),1,0)</f>
        <v>0</v>
      </c>
      <c r="T50" s="3">
        <f>IF(AND(VLOOKUP(T$1,test!$A$3:$F$32,5,FALSE) - VLOOKUP($B50,test!$A$3:$G$32,6,FALSE) &gt;= (test!$B$34)/1440),1,0)</f>
        <v>0</v>
      </c>
      <c r="U50" s="3">
        <f>IF(AND(VLOOKUP(U$1,test!$A$3:$F$32,5,FALSE) - VLOOKUP($B50,test!$A$3:$G$32,6,FALSE) &gt;= (test!$B$34)/1440),1,0)</f>
        <v>0</v>
      </c>
      <c r="V50" s="3">
        <f>IF(AND(VLOOKUP(V$1,test!$A$3:$F$32,5,FALSE) - VLOOKUP($B50,test!$A$3:$G$32,6,FALSE) &gt;= (test!$B$34)/1440),1,0)</f>
        <v>0</v>
      </c>
      <c r="W50" s="3">
        <f>IF(AND(VLOOKUP(W$1,test!$A$3:$F$32,5,FALSE) - VLOOKUP($B50,test!$A$3:$G$32,6,FALSE) &gt;= (test!$B$34)/1440),1,0)</f>
        <v>1</v>
      </c>
      <c r="X50" s="3">
        <f>IF(AND(VLOOKUP(X$1,test!$A$3:$F$32,5,FALSE) - VLOOKUP($B50,test!$A$3:$G$32,6,FALSE) &gt;= (test!$B$34)/1440),1,0)</f>
        <v>1</v>
      </c>
      <c r="Y50" s="3">
        <f>IF(AND(VLOOKUP(Y$1,test!$A$3:$F$32,5,FALSE) - VLOOKUP($B50,test!$A$3:$G$32,6,FALSE) &gt;= (test!$B$34)/1440),1,0)</f>
        <v>1</v>
      </c>
      <c r="Z50" s="3">
        <f>IF(AND(VLOOKUP(Z$1,test!$A$3:$F$32,5,FALSE) - VLOOKUP($B50,test!$A$3:$G$32,6,FALSE) &gt;= (test!$B$34)/1440),1,0)</f>
        <v>0</v>
      </c>
      <c r="AA50" s="3">
        <f>IF(AND(VLOOKUP(AA$1,test!$A$3:$F$32,5,FALSE) - VLOOKUP($B50,test!$A$3:$G$32,6,FALSE) &gt;= (test!$B$34)/1440),1,0)</f>
        <v>0</v>
      </c>
      <c r="AB50" s="3">
        <f>IF(AND(VLOOKUP(AB$1,test!$A$3:$F$32,5,FALSE) - VLOOKUP($B50,test!$A$3:$G$32,6,FALSE) &gt;= (test!$B$34)/1440),1,0)</f>
        <v>0</v>
      </c>
      <c r="AC50" s="3">
        <f>IF(AND(VLOOKUP(AC$1,test!$A$3:$F$32,5,FALSE) - VLOOKUP($B50,test!$A$3:$G$32,6,FALSE) &gt;= (test!$B$34)/1440),1,0)</f>
        <v>0</v>
      </c>
      <c r="AD50" s="3">
        <f>IF(AND(VLOOKUP(AD$1,test!$A$3:$F$32,5,FALSE) - VLOOKUP($B50,test!$A$3:$G$32,6,FALSE) &gt;= (test!$B$34)/1440),1,0)</f>
        <v>1</v>
      </c>
      <c r="AE50" s="3">
        <f>IF(AND(VLOOKUP(AE$1,test!$A$3:$F$32,5,FALSE) - VLOOKUP($B50,test!$A$3:$G$32,6,FALSE) &gt;= (test!$B$34)/1440),1,0)</f>
        <v>0</v>
      </c>
      <c r="AF50" s="3">
        <f>IF(AND(VLOOKUP(AF$1,test!$A$3:$F$32,5,FALSE) - VLOOKUP($B50,test!$A$3:$G$32,6,FALSE) &gt;= (test!$B$34)/1440),1,0)</f>
        <v>0</v>
      </c>
      <c r="AG50" s="3">
        <f>IF(AND(VLOOKUP(AG$1,test!$A$3:$F$32,5,FALSE) - VLOOKUP($B50,test!$A$3:$G$32,6,FALSE) &gt;= (test!$B$34)/1440),1,0)</f>
        <v>0</v>
      </c>
    </row>
    <row r="51" spans="1:33" x14ac:dyDescent="0.25">
      <c r="A51" t="s">
        <v>59</v>
      </c>
      <c r="B51" t="s">
        <v>29</v>
      </c>
      <c r="C51">
        <v>0</v>
      </c>
      <c r="D51" s="3">
        <f>IF(AND(VLOOKUP(D$1,test!$A$3:$F$32,5,FALSE) - VLOOKUP($B51,test!$A$3:$G$32,6,FALSE) &gt;= (test!$B$34)/1440),1,0)</f>
        <v>0</v>
      </c>
      <c r="E51" s="3">
        <f>IF(AND(VLOOKUP(E$1,test!$A$3:$F$32,5,FALSE) - VLOOKUP($B51,test!$A$3:$G$32,6,FALSE) &gt;= (test!$B$34)/1440),1,0)</f>
        <v>0</v>
      </c>
      <c r="F51" s="3">
        <f>IF(AND(VLOOKUP(F$1,test!$A$3:$F$32,5,FALSE) - VLOOKUP($B51,test!$A$3:$G$32,6,FALSE) &gt;= (test!$B$34)/1440),1,0)</f>
        <v>0</v>
      </c>
      <c r="G51" s="3">
        <f>IF(AND(VLOOKUP(G$1,test!$A$3:$F$32,5,FALSE) - VLOOKUP($B51,test!$A$3:$G$32,6,FALSE) &gt;= (test!$B$34)/1440),1,0)</f>
        <v>0</v>
      </c>
      <c r="H51" s="3">
        <f>IF(AND(VLOOKUP(H$1,test!$A$3:$F$32,5,FALSE) - VLOOKUP($B51,test!$A$3:$G$32,6,FALSE) &gt;= (test!$B$34)/1440),1,0)</f>
        <v>0</v>
      </c>
      <c r="I51" s="3">
        <f>IF(AND(VLOOKUP(I$1,test!$A$3:$F$32,5,FALSE) - VLOOKUP($B51,test!$A$3:$G$32,6,FALSE) &gt;= (test!$B$34)/1440),1,0)</f>
        <v>1</v>
      </c>
      <c r="J51" s="3">
        <f>IF(AND(VLOOKUP(J$1,test!$A$3:$F$32,5,FALSE) - VLOOKUP($B51,test!$A$3:$G$32,6,FALSE) &gt;= (test!$B$34)/1440),1,0)</f>
        <v>1</v>
      </c>
      <c r="K51" s="3">
        <f>IF(AND(VLOOKUP(K$1,test!$A$3:$F$32,5,FALSE) - VLOOKUP($B51,test!$A$3:$G$32,6,FALSE) &gt;= (test!$B$34)/1440),1,0)</f>
        <v>1</v>
      </c>
      <c r="L51" s="3">
        <f>IF(AND(VLOOKUP(L$1,test!$A$3:$F$32,5,FALSE) - VLOOKUP($B51,test!$A$3:$G$32,6,FALSE) &gt;= (test!$B$34)/1440),1,0)</f>
        <v>0</v>
      </c>
      <c r="M51" s="3">
        <f>IF(AND(VLOOKUP(M$1,test!$A$3:$F$32,5,FALSE) - VLOOKUP($B51,test!$A$3:$G$32,6,FALSE) &gt;= (test!$B$34)/1440),1,0)</f>
        <v>0</v>
      </c>
      <c r="N51" s="3">
        <f>IF(AND(VLOOKUP(N$1,test!$A$3:$F$32,5,FALSE) - VLOOKUP($B51,test!$A$3:$G$32,6,FALSE) &gt;= (test!$B$34)/1440),1,0)</f>
        <v>0</v>
      </c>
      <c r="O51" s="3">
        <f>IF(AND(VLOOKUP(O$1,test!$A$3:$F$32,5,FALSE) - VLOOKUP($B51,test!$A$3:$G$32,6,FALSE) &gt;= (test!$B$34)/1440),1,0)</f>
        <v>1</v>
      </c>
      <c r="P51" s="3">
        <f>IF(AND(VLOOKUP(P$1,test!$A$3:$F$32,5,FALSE) - VLOOKUP($B51,test!$A$3:$G$32,6,FALSE) &gt;= (test!$B$34)/1440),1,0)</f>
        <v>1</v>
      </c>
      <c r="Q51" s="3">
        <f>IF(AND(VLOOKUP(Q$1,test!$A$3:$F$32,5,FALSE) - VLOOKUP($B51,test!$A$3:$G$32,6,FALSE) &gt;= (test!$B$34)/1440),1,0)</f>
        <v>0</v>
      </c>
      <c r="R51" s="3">
        <f>IF(AND(VLOOKUP(R$1,test!$A$3:$F$32,5,FALSE) - VLOOKUP($B51,test!$A$3:$G$32,6,FALSE) &gt;= (test!$B$34)/1440),1,0)</f>
        <v>0</v>
      </c>
      <c r="S51" s="3">
        <f>IF(AND(VLOOKUP(S$1,test!$A$3:$F$32,5,FALSE) - VLOOKUP($B51,test!$A$3:$G$32,6,FALSE) &gt;= (test!$B$34)/1440),1,0)</f>
        <v>0</v>
      </c>
      <c r="T51" s="3">
        <f>IF(AND(VLOOKUP(T$1,test!$A$3:$F$32,5,FALSE) - VLOOKUP($B51,test!$A$3:$G$32,6,FALSE) &gt;= (test!$B$34)/1440),1,0)</f>
        <v>0</v>
      </c>
      <c r="U51" s="3">
        <f>IF(AND(VLOOKUP(U$1,test!$A$3:$F$32,5,FALSE) - VLOOKUP($B51,test!$A$3:$G$32,6,FALSE) &gt;= (test!$B$34)/1440),1,0)</f>
        <v>0</v>
      </c>
      <c r="V51" s="3">
        <f>IF(AND(VLOOKUP(V$1,test!$A$3:$F$32,5,FALSE) - VLOOKUP($B51,test!$A$3:$G$32,6,FALSE) &gt;= (test!$B$34)/1440),1,0)</f>
        <v>0</v>
      </c>
      <c r="W51" s="3">
        <f>IF(AND(VLOOKUP(W$1,test!$A$3:$F$32,5,FALSE) - VLOOKUP($B51,test!$A$3:$G$32,6,FALSE) &gt;= (test!$B$34)/1440),1,0)</f>
        <v>0</v>
      </c>
      <c r="X51" s="3">
        <f>IF(AND(VLOOKUP(X$1,test!$A$3:$F$32,5,FALSE) - VLOOKUP($B51,test!$A$3:$G$32,6,FALSE) &gt;= (test!$B$34)/1440),1,0)</f>
        <v>1</v>
      </c>
      <c r="Y51" s="3">
        <f>IF(AND(VLOOKUP(Y$1,test!$A$3:$F$32,5,FALSE) - VLOOKUP($B51,test!$A$3:$G$32,6,FALSE) &gt;= (test!$B$34)/1440),1,0)</f>
        <v>1</v>
      </c>
      <c r="Z51" s="3">
        <f>IF(AND(VLOOKUP(Z$1,test!$A$3:$F$32,5,FALSE) - VLOOKUP($B51,test!$A$3:$G$32,6,FALSE) &gt;= (test!$B$34)/1440),1,0)</f>
        <v>0</v>
      </c>
      <c r="AA51" s="3">
        <f>IF(AND(VLOOKUP(AA$1,test!$A$3:$F$32,5,FALSE) - VLOOKUP($B51,test!$A$3:$G$32,6,FALSE) &gt;= (test!$B$34)/1440),1,0)</f>
        <v>0</v>
      </c>
      <c r="AB51" s="3">
        <f>IF(AND(VLOOKUP(AB$1,test!$A$3:$F$32,5,FALSE) - VLOOKUP($B51,test!$A$3:$G$32,6,FALSE) &gt;= (test!$B$34)/1440),1,0)</f>
        <v>0</v>
      </c>
      <c r="AC51" s="3">
        <f>IF(AND(VLOOKUP(AC$1,test!$A$3:$F$32,5,FALSE) - VLOOKUP($B51,test!$A$3:$G$32,6,FALSE) &gt;= (test!$B$34)/1440),1,0)</f>
        <v>0</v>
      </c>
      <c r="AD51" s="3">
        <f>IF(AND(VLOOKUP(AD$1,test!$A$3:$F$32,5,FALSE) - VLOOKUP($B51,test!$A$3:$G$32,6,FALSE) &gt;= (test!$B$34)/1440),1,0)</f>
        <v>1</v>
      </c>
      <c r="AE51" s="3">
        <f>IF(AND(VLOOKUP(AE$1,test!$A$3:$F$32,5,FALSE) - VLOOKUP($B51,test!$A$3:$G$32,6,FALSE) &gt;= (test!$B$34)/1440),1,0)</f>
        <v>0</v>
      </c>
      <c r="AF51" s="3">
        <f>IF(AND(VLOOKUP(AF$1,test!$A$3:$F$32,5,FALSE) - VLOOKUP($B51,test!$A$3:$G$32,6,FALSE) &gt;= (test!$B$34)/1440),1,0)</f>
        <v>0</v>
      </c>
      <c r="AG51" s="3">
        <f>IF(AND(VLOOKUP(AG$1,test!$A$3:$F$32,5,FALSE) - VLOOKUP($B51,test!$A$3:$G$32,6,FALSE) &gt;= (test!$B$34)/1440),1,0)</f>
        <v>0</v>
      </c>
    </row>
    <row r="52" spans="1:33" x14ac:dyDescent="0.25">
      <c r="A52" t="s">
        <v>59</v>
      </c>
      <c r="B52" t="s">
        <v>30</v>
      </c>
      <c r="C52">
        <v>0</v>
      </c>
      <c r="D52" s="3">
        <f>IF(AND(VLOOKUP(D$1,test!$A$3:$F$32,5,FALSE) - VLOOKUP($B52,test!$A$3:$G$32,6,FALSE) &gt;= (test!$B$34)/1440),1,0)</f>
        <v>0</v>
      </c>
      <c r="E52" s="3">
        <f>IF(AND(VLOOKUP(E$1,test!$A$3:$F$32,5,FALSE) - VLOOKUP($B52,test!$A$3:$G$32,6,FALSE) &gt;= (test!$B$34)/1440),1,0)</f>
        <v>0</v>
      </c>
      <c r="F52" s="3">
        <f>IF(AND(VLOOKUP(F$1,test!$A$3:$F$32,5,FALSE) - VLOOKUP($B52,test!$A$3:$G$32,6,FALSE) &gt;= (test!$B$34)/1440),1,0)</f>
        <v>0</v>
      </c>
      <c r="G52" s="3">
        <f>IF(AND(VLOOKUP(G$1,test!$A$3:$F$32,5,FALSE) - VLOOKUP($B52,test!$A$3:$G$32,6,FALSE) &gt;= (test!$B$34)/1440),1,0)</f>
        <v>0</v>
      </c>
      <c r="H52" s="3">
        <f>IF(AND(VLOOKUP(H$1,test!$A$3:$F$32,5,FALSE) - VLOOKUP($B52,test!$A$3:$G$32,6,FALSE) &gt;= (test!$B$34)/1440),1,0)</f>
        <v>0</v>
      </c>
      <c r="I52" s="3">
        <f>IF(AND(VLOOKUP(I$1,test!$A$3:$F$32,5,FALSE) - VLOOKUP($B52,test!$A$3:$G$32,6,FALSE) &gt;= (test!$B$34)/1440),1,0)</f>
        <v>0</v>
      </c>
      <c r="J52" s="3">
        <f>IF(AND(VLOOKUP(J$1,test!$A$3:$F$32,5,FALSE) - VLOOKUP($B52,test!$A$3:$G$32,6,FALSE) &gt;= (test!$B$34)/1440),1,0)</f>
        <v>0</v>
      </c>
      <c r="K52" s="3">
        <f>IF(AND(VLOOKUP(K$1,test!$A$3:$F$32,5,FALSE) - VLOOKUP($B52,test!$A$3:$G$32,6,FALSE) &gt;= (test!$B$34)/1440),1,0)</f>
        <v>1</v>
      </c>
      <c r="L52" s="3">
        <f>IF(AND(VLOOKUP(L$1,test!$A$3:$F$32,5,FALSE) - VLOOKUP($B52,test!$A$3:$G$32,6,FALSE) &gt;= (test!$B$34)/1440),1,0)</f>
        <v>0</v>
      </c>
      <c r="M52" s="3">
        <f>IF(AND(VLOOKUP(M$1,test!$A$3:$F$32,5,FALSE) - VLOOKUP($B52,test!$A$3:$G$32,6,FALSE) &gt;= (test!$B$34)/1440),1,0)</f>
        <v>0</v>
      </c>
      <c r="N52" s="3">
        <f>IF(AND(VLOOKUP(N$1,test!$A$3:$F$32,5,FALSE) - VLOOKUP($B52,test!$A$3:$G$32,6,FALSE) &gt;= (test!$B$34)/1440),1,0)</f>
        <v>0</v>
      </c>
      <c r="O52" s="3">
        <f>IF(AND(VLOOKUP(O$1,test!$A$3:$F$32,5,FALSE) - VLOOKUP($B52,test!$A$3:$G$32,6,FALSE) &gt;= (test!$B$34)/1440),1,0)</f>
        <v>1</v>
      </c>
      <c r="P52" s="3">
        <f>IF(AND(VLOOKUP(P$1,test!$A$3:$F$32,5,FALSE) - VLOOKUP($B52,test!$A$3:$G$32,6,FALSE) &gt;= (test!$B$34)/1440),1,0)</f>
        <v>1</v>
      </c>
      <c r="Q52" s="3">
        <f>IF(AND(VLOOKUP(Q$1,test!$A$3:$F$32,5,FALSE) - VLOOKUP($B52,test!$A$3:$G$32,6,FALSE) &gt;= (test!$B$34)/1440),1,0)</f>
        <v>0</v>
      </c>
      <c r="R52" s="3">
        <f>IF(AND(VLOOKUP(R$1,test!$A$3:$F$32,5,FALSE) - VLOOKUP($B52,test!$A$3:$G$32,6,FALSE) &gt;= (test!$B$34)/1440),1,0)</f>
        <v>0</v>
      </c>
      <c r="S52" s="3">
        <f>IF(AND(VLOOKUP(S$1,test!$A$3:$F$32,5,FALSE) - VLOOKUP($B52,test!$A$3:$G$32,6,FALSE) &gt;= (test!$B$34)/1440),1,0)</f>
        <v>0</v>
      </c>
      <c r="T52" s="3">
        <f>IF(AND(VLOOKUP(T$1,test!$A$3:$F$32,5,FALSE) - VLOOKUP($B52,test!$A$3:$G$32,6,FALSE) &gt;= (test!$B$34)/1440),1,0)</f>
        <v>0</v>
      </c>
      <c r="U52" s="3">
        <f>IF(AND(VLOOKUP(U$1,test!$A$3:$F$32,5,FALSE) - VLOOKUP($B52,test!$A$3:$G$32,6,FALSE) &gt;= (test!$B$34)/1440),1,0)</f>
        <v>0</v>
      </c>
      <c r="V52" s="3">
        <f>IF(AND(VLOOKUP(V$1,test!$A$3:$F$32,5,FALSE) - VLOOKUP($B52,test!$A$3:$G$32,6,FALSE) &gt;= (test!$B$34)/1440),1,0)</f>
        <v>0</v>
      </c>
      <c r="W52" s="3">
        <f>IF(AND(VLOOKUP(W$1,test!$A$3:$F$32,5,FALSE) - VLOOKUP($B52,test!$A$3:$G$32,6,FALSE) &gt;= (test!$B$34)/1440),1,0)</f>
        <v>0</v>
      </c>
      <c r="X52" s="3">
        <f>IF(AND(VLOOKUP(X$1,test!$A$3:$F$32,5,FALSE) - VLOOKUP($B52,test!$A$3:$G$32,6,FALSE) &gt;= (test!$B$34)/1440),1,0)</f>
        <v>0</v>
      </c>
      <c r="Y52" s="3">
        <f>IF(AND(VLOOKUP(Y$1,test!$A$3:$F$32,5,FALSE) - VLOOKUP($B52,test!$A$3:$G$32,6,FALSE) &gt;= (test!$B$34)/1440),1,0)</f>
        <v>1</v>
      </c>
      <c r="Z52" s="3">
        <f>IF(AND(VLOOKUP(Z$1,test!$A$3:$F$32,5,FALSE) - VLOOKUP($B52,test!$A$3:$G$32,6,FALSE) &gt;= (test!$B$34)/1440),1,0)</f>
        <v>0</v>
      </c>
      <c r="AA52" s="3">
        <f>IF(AND(VLOOKUP(AA$1,test!$A$3:$F$32,5,FALSE) - VLOOKUP($B52,test!$A$3:$G$32,6,FALSE) &gt;= (test!$B$34)/1440),1,0)</f>
        <v>0</v>
      </c>
      <c r="AB52" s="3">
        <f>IF(AND(VLOOKUP(AB$1,test!$A$3:$F$32,5,FALSE) - VLOOKUP($B52,test!$A$3:$G$32,6,FALSE) &gt;= (test!$B$34)/1440),1,0)</f>
        <v>0</v>
      </c>
      <c r="AC52" s="3">
        <f>IF(AND(VLOOKUP(AC$1,test!$A$3:$F$32,5,FALSE) - VLOOKUP($B52,test!$A$3:$G$32,6,FALSE) &gt;= (test!$B$34)/1440),1,0)</f>
        <v>0</v>
      </c>
      <c r="AD52" s="3">
        <f>IF(AND(VLOOKUP(AD$1,test!$A$3:$F$32,5,FALSE) - VLOOKUP($B52,test!$A$3:$G$32,6,FALSE) &gt;= (test!$B$34)/1440),1,0)</f>
        <v>0</v>
      </c>
      <c r="AE52" s="3">
        <f>IF(AND(VLOOKUP(AE$1,test!$A$3:$F$32,5,FALSE) - VLOOKUP($B52,test!$A$3:$G$32,6,FALSE) &gt;= (test!$B$34)/1440),1,0)</f>
        <v>0</v>
      </c>
      <c r="AF52" s="3">
        <f>IF(AND(VLOOKUP(AF$1,test!$A$3:$F$32,5,FALSE) - VLOOKUP($B52,test!$A$3:$G$32,6,FALSE) &gt;= (test!$B$34)/1440),1,0)</f>
        <v>0</v>
      </c>
      <c r="AG52" s="3">
        <f>IF(AND(VLOOKUP(AG$1,test!$A$3:$F$32,5,FALSE) - VLOOKUP($B52,test!$A$3:$G$32,6,FALSE) &gt;= (test!$B$34)/1440),1,0)</f>
        <v>0</v>
      </c>
    </row>
    <row r="53" spans="1:33" x14ac:dyDescent="0.25">
      <c r="A53" t="s">
        <v>59</v>
      </c>
      <c r="B53" t="s">
        <v>31</v>
      </c>
      <c r="C53">
        <v>0</v>
      </c>
      <c r="D53" s="3">
        <f>IF(AND(VLOOKUP(D$1,test!$A$3:$F$32,5,FALSE) - VLOOKUP($B53,test!$A$3:$G$32,6,FALSE) &gt;= (test!$B$34)/1440),1,0)</f>
        <v>0</v>
      </c>
      <c r="E53" s="3">
        <f>IF(AND(VLOOKUP(E$1,test!$A$3:$F$32,5,FALSE) - VLOOKUP($B53,test!$A$3:$G$32,6,FALSE) &gt;= (test!$B$34)/1440),1,0)</f>
        <v>0</v>
      </c>
      <c r="F53" s="3">
        <f>IF(AND(VLOOKUP(F$1,test!$A$3:$F$32,5,FALSE) - VLOOKUP($B53,test!$A$3:$G$32,6,FALSE) &gt;= (test!$B$34)/1440),1,0)</f>
        <v>0</v>
      </c>
      <c r="G53" s="3">
        <f>IF(AND(VLOOKUP(G$1,test!$A$3:$F$32,5,FALSE) - VLOOKUP($B53,test!$A$3:$G$32,6,FALSE) &gt;= (test!$B$34)/1440),1,0)</f>
        <v>0</v>
      </c>
      <c r="H53" s="3">
        <f>IF(AND(VLOOKUP(H$1,test!$A$3:$F$32,5,FALSE) - VLOOKUP($B53,test!$A$3:$G$32,6,FALSE) &gt;= (test!$B$34)/1440),1,0)</f>
        <v>0</v>
      </c>
      <c r="I53" s="3">
        <f>IF(AND(VLOOKUP(I$1,test!$A$3:$F$32,5,FALSE) - VLOOKUP($B53,test!$A$3:$G$32,6,FALSE) &gt;= (test!$B$34)/1440),1,0)</f>
        <v>0</v>
      </c>
      <c r="J53" s="3">
        <f>IF(AND(VLOOKUP(J$1,test!$A$3:$F$32,5,FALSE) - VLOOKUP($B53,test!$A$3:$G$32,6,FALSE) &gt;= (test!$B$34)/1440),1,0)</f>
        <v>0</v>
      </c>
      <c r="K53" s="3">
        <f>IF(AND(VLOOKUP(K$1,test!$A$3:$F$32,5,FALSE) - VLOOKUP($B53,test!$A$3:$G$32,6,FALSE) &gt;= (test!$B$34)/1440),1,0)</f>
        <v>0</v>
      </c>
      <c r="L53" s="3">
        <f>IF(AND(VLOOKUP(L$1,test!$A$3:$F$32,5,FALSE) - VLOOKUP($B53,test!$A$3:$G$32,6,FALSE) &gt;= (test!$B$34)/1440),1,0)</f>
        <v>0</v>
      </c>
      <c r="M53" s="3">
        <f>IF(AND(VLOOKUP(M$1,test!$A$3:$F$32,5,FALSE) - VLOOKUP($B53,test!$A$3:$G$32,6,FALSE) &gt;= (test!$B$34)/1440),1,0)</f>
        <v>0</v>
      </c>
      <c r="N53" s="3">
        <f>IF(AND(VLOOKUP(N$1,test!$A$3:$F$32,5,FALSE) - VLOOKUP($B53,test!$A$3:$G$32,6,FALSE) &gt;= (test!$B$34)/1440),1,0)</f>
        <v>0</v>
      </c>
      <c r="O53" s="3">
        <f>IF(AND(VLOOKUP(O$1,test!$A$3:$F$32,5,FALSE) - VLOOKUP($B53,test!$A$3:$G$32,6,FALSE) &gt;= (test!$B$34)/1440),1,0)</f>
        <v>0</v>
      </c>
      <c r="P53" s="3">
        <f>IF(AND(VLOOKUP(P$1,test!$A$3:$F$32,5,FALSE) - VLOOKUP($B53,test!$A$3:$G$32,6,FALSE) &gt;= (test!$B$34)/1440),1,0)</f>
        <v>1</v>
      </c>
      <c r="Q53" s="3">
        <f>IF(AND(VLOOKUP(Q$1,test!$A$3:$F$32,5,FALSE) - VLOOKUP($B53,test!$A$3:$G$32,6,FALSE) &gt;= (test!$B$34)/1440),1,0)</f>
        <v>0</v>
      </c>
      <c r="R53" s="3">
        <f>IF(AND(VLOOKUP(R$1,test!$A$3:$F$32,5,FALSE) - VLOOKUP($B53,test!$A$3:$G$32,6,FALSE) &gt;= (test!$B$34)/1440),1,0)</f>
        <v>0</v>
      </c>
      <c r="S53" s="3">
        <f>IF(AND(VLOOKUP(S$1,test!$A$3:$F$32,5,FALSE) - VLOOKUP($B53,test!$A$3:$G$32,6,FALSE) &gt;= (test!$B$34)/1440),1,0)</f>
        <v>0</v>
      </c>
      <c r="T53" s="3">
        <f>IF(AND(VLOOKUP(T$1,test!$A$3:$F$32,5,FALSE) - VLOOKUP($B53,test!$A$3:$G$32,6,FALSE) &gt;= (test!$B$34)/1440),1,0)</f>
        <v>0</v>
      </c>
      <c r="U53" s="3">
        <f>IF(AND(VLOOKUP(U$1,test!$A$3:$F$32,5,FALSE) - VLOOKUP($B53,test!$A$3:$G$32,6,FALSE) &gt;= (test!$B$34)/1440),1,0)</f>
        <v>0</v>
      </c>
      <c r="V53" s="3">
        <f>IF(AND(VLOOKUP(V$1,test!$A$3:$F$32,5,FALSE) - VLOOKUP($B53,test!$A$3:$G$32,6,FALSE) &gt;= (test!$B$34)/1440),1,0)</f>
        <v>0</v>
      </c>
      <c r="W53" s="3">
        <f>IF(AND(VLOOKUP(W$1,test!$A$3:$F$32,5,FALSE) - VLOOKUP($B53,test!$A$3:$G$32,6,FALSE) &gt;= (test!$B$34)/1440),1,0)</f>
        <v>0</v>
      </c>
      <c r="X53" s="3">
        <f>IF(AND(VLOOKUP(X$1,test!$A$3:$F$32,5,FALSE) - VLOOKUP($B53,test!$A$3:$G$32,6,FALSE) &gt;= (test!$B$34)/1440),1,0)</f>
        <v>0</v>
      </c>
      <c r="Y53" s="3">
        <f>IF(AND(VLOOKUP(Y$1,test!$A$3:$F$32,5,FALSE) - VLOOKUP($B53,test!$A$3:$G$32,6,FALSE) &gt;= (test!$B$34)/1440),1,0)</f>
        <v>0</v>
      </c>
      <c r="Z53" s="3">
        <f>IF(AND(VLOOKUP(Z$1,test!$A$3:$F$32,5,FALSE) - VLOOKUP($B53,test!$A$3:$G$32,6,FALSE) &gt;= (test!$B$34)/1440),1,0)</f>
        <v>0</v>
      </c>
      <c r="AA53" s="3">
        <f>IF(AND(VLOOKUP(AA$1,test!$A$3:$F$32,5,FALSE) - VLOOKUP($B53,test!$A$3:$G$32,6,FALSE) &gt;= (test!$B$34)/1440),1,0)</f>
        <v>0</v>
      </c>
      <c r="AB53" s="3">
        <f>IF(AND(VLOOKUP(AB$1,test!$A$3:$F$32,5,FALSE) - VLOOKUP($B53,test!$A$3:$G$32,6,FALSE) &gt;= (test!$B$34)/1440),1,0)</f>
        <v>0</v>
      </c>
      <c r="AC53" s="3">
        <f>IF(AND(VLOOKUP(AC$1,test!$A$3:$F$32,5,FALSE) - VLOOKUP($B53,test!$A$3:$G$32,6,FALSE) &gt;= (test!$B$34)/1440),1,0)</f>
        <v>0</v>
      </c>
      <c r="AD53" s="3">
        <f>IF(AND(VLOOKUP(AD$1,test!$A$3:$F$32,5,FALSE) - VLOOKUP($B53,test!$A$3:$G$32,6,FALSE) &gt;= (test!$B$34)/1440),1,0)</f>
        <v>0</v>
      </c>
      <c r="AE53" s="3">
        <f>IF(AND(VLOOKUP(AE$1,test!$A$3:$F$32,5,FALSE) - VLOOKUP($B53,test!$A$3:$G$32,6,FALSE) &gt;= (test!$B$34)/1440),1,0)</f>
        <v>0</v>
      </c>
      <c r="AF53" s="3">
        <f>IF(AND(VLOOKUP(AF$1,test!$A$3:$F$32,5,FALSE) - VLOOKUP($B53,test!$A$3:$G$32,6,FALSE) &gt;= (test!$B$34)/1440),1,0)</f>
        <v>0</v>
      </c>
      <c r="AG53" s="3">
        <f>IF(AND(VLOOKUP(AG$1,test!$A$3:$F$32,5,FALSE) - VLOOKUP($B53,test!$A$3:$G$32,6,FALSE) &gt;= (test!$B$34)/1440),1,0)</f>
        <v>0</v>
      </c>
    </row>
    <row r="54" spans="1:33" x14ac:dyDescent="0.25">
      <c r="A54" t="s">
        <v>59</v>
      </c>
      <c r="B54" t="s">
        <v>32</v>
      </c>
      <c r="C54">
        <v>0</v>
      </c>
      <c r="D54" s="3">
        <f>IF(AND(VLOOKUP(D$1,test!$A$3:$F$32,5,FALSE) - VLOOKUP($B54,test!$A$3:$G$32,6,FALSE) &gt;= (test!$B$34)/1440),1,0)</f>
        <v>0</v>
      </c>
      <c r="E54" s="3">
        <f>IF(AND(VLOOKUP(E$1,test!$A$3:$F$32,5,FALSE) - VLOOKUP($B54,test!$A$3:$G$32,6,FALSE) &gt;= (test!$B$34)/1440),1,0)</f>
        <v>0</v>
      </c>
      <c r="F54" s="3">
        <f>IF(AND(VLOOKUP(F$1,test!$A$3:$F$32,5,FALSE) - VLOOKUP($B54,test!$A$3:$G$32,6,FALSE) &gt;= (test!$B$34)/1440),1,0)</f>
        <v>0</v>
      </c>
      <c r="G54" s="3">
        <f>IF(AND(VLOOKUP(G$1,test!$A$3:$F$32,5,FALSE) - VLOOKUP($B54,test!$A$3:$G$32,6,FALSE) &gt;= (test!$B$34)/1440),1,0)</f>
        <v>0</v>
      </c>
      <c r="H54" s="3">
        <f>IF(AND(VLOOKUP(H$1,test!$A$3:$F$32,5,FALSE) - VLOOKUP($B54,test!$A$3:$G$32,6,FALSE) &gt;= (test!$B$34)/1440),1,0)</f>
        <v>0</v>
      </c>
      <c r="I54" s="3">
        <f>IF(AND(VLOOKUP(I$1,test!$A$3:$F$32,5,FALSE) - VLOOKUP($B54,test!$A$3:$G$32,6,FALSE) &gt;= (test!$B$34)/1440),1,0)</f>
        <v>0</v>
      </c>
      <c r="J54" s="3">
        <f>IF(AND(VLOOKUP(J$1,test!$A$3:$F$32,5,FALSE) - VLOOKUP($B54,test!$A$3:$G$32,6,FALSE) &gt;= (test!$B$34)/1440),1,0)</f>
        <v>0</v>
      </c>
      <c r="K54" s="3">
        <f>IF(AND(VLOOKUP(K$1,test!$A$3:$F$32,5,FALSE) - VLOOKUP($B54,test!$A$3:$G$32,6,FALSE) &gt;= (test!$B$34)/1440),1,0)</f>
        <v>0</v>
      </c>
      <c r="L54" s="3">
        <f>IF(AND(VLOOKUP(L$1,test!$A$3:$F$32,5,FALSE) - VLOOKUP($B54,test!$A$3:$G$32,6,FALSE) &gt;= (test!$B$34)/1440),1,0)</f>
        <v>0</v>
      </c>
      <c r="M54" s="3">
        <f>IF(AND(VLOOKUP(M$1,test!$A$3:$F$32,5,FALSE) - VLOOKUP($B54,test!$A$3:$G$32,6,FALSE) &gt;= (test!$B$34)/1440),1,0)</f>
        <v>0</v>
      </c>
      <c r="N54" s="3">
        <f>IF(AND(VLOOKUP(N$1,test!$A$3:$F$32,5,FALSE) - VLOOKUP($B54,test!$A$3:$G$32,6,FALSE) &gt;= (test!$B$34)/1440),1,0)</f>
        <v>0</v>
      </c>
      <c r="O54" s="3">
        <f>IF(AND(VLOOKUP(O$1,test!$A$3:$F$32,5,FALSE) - VLOOKUP($B54,test!$A$3:$G$32,6,FALSE) &gt;= (test!$B$34)/1440),1,0)</f>
        <v>0</v>
      </c>
      <c r="P54" s="3">
        <f>IF(AND(VLOOKUP(P$1,test!$A$3:$F$32,5,FALSE) - VLOOKUP($B54,test!$A$3:$G$32,6,FALSE) &gt;= (test!$B$34)/1440),1,0)</f>
        <v>0</v>
      </c>
      <c r="Q54" s="3">
        <f>IF(AND(VLOOKUP(Q$1,test!$A$3:$F$32,5,FALSE) - VLOOKUP($B54,test!$A$3:$G$32,6,FALSE) &gt;= (test!$B$34)/1440),1,0)</f>
        <v>0</v>
      </c>
      <c r="R54" s="3">
        <f>IF(AND(VLOOKUP(R$1,test!$A$3:$F$32,5,FALSE) - VLOOKUP($B54,test!$A$3:$G$32,6,FALSE) &gt;= (test!$B$34)/1440),1,0)</f>
        <v>0</v>
      </c>
      <c r="S54" s="3">
        <f>IF(AND(VLOOKUP(S$1,test!$A$3:$F$32,5,FALSE) - VLOOKUP($B54,test!$A$3:$G$32,6,FALSE) &gt;= (test!$B$34)/1440),1,0)</f>
        <v>0</v>
      </c>
      <c r="T54" s="3">
        <f>IF(AND(VLOOKUP(T$1,test!$A$3:$F$32,5,FALSE) - VLOOKUP($B54,test!$A$3:$G$32,6,FALSE) &gt;= (test!$B$34)/1440),1,0)</f>
        <v>0</v>
      </c>
      <c r="U54" s="3">
        <f>IF(AND(VLOOKUP(U$1,test!$A$3:$F$32,5,FALSE) - VLOOKUP($B54,test!$A$3:$G$32,6,FALSE) &gt;= (test!$B$34)/1440),1,0)</f>
        <v>0</v>
      </c>
      <c r="V54" s="3">
        <f>IF(AND(VLOOKUP(V$1,test!$A$3:$F$32,5,FALSE) - VLOOKUP($B54,test!$A$3:$G$32,6,FALSE) &gt;= (test!$B$34)/1440),1,0)</f>
        <v>0</v>
      </c>
      <c r="W54" s="3">
        <f>IF(AND(VLOOKUP(W$1,test!$A$3:$F$32,5,FALSE) - VLOOKUP($B54,test!$A$3:$G$32,6,FALSE) &gt;= (test!$B$34)/1440),1,0)</f>
        <v>0</v>
      </c>
      <c r="X54" s="3">
        <f>IF(AND(VLOOKUP(X$1,test!$A$3:$F$32,5,FALSE) - VLOOKUP($B54,test!$A$3:$G$32,6,FALSE) &gt;= (test!$B$34)/1440),1,0)</f>
        <v>0</v>
      </c>
      <c r="Y54" s="3">
        <f>IF(AND(VLOOKUP(Y$1,test!$A$3:$F$32,5,FALSE) - VLOOKUP($B54,test!$A$3:$G$32,6,FALSE) &gt;= (test!$B$34)/1440),1,0)</f>
        <v>0</v>
      </c>
      <c r="Z54" s="3">
        <f>IF(AND(VLOOKUP(Z$1,test!$A$3:$F$32,5,FALSE) - VLOOKUP($B54,test!$A$3:$G$32,6,FALSE) &gt;= (test!$B$34)/1440),1,0)</f>
        <v>0</v>
      </c>
      <c r="AA54" s="3">
        <f>IF(AND(VLOOKUP(AA$1,test!$A$3:$F$32,5,FALSE) - VLOOKUP($B54,test!$A$3:$G$32,6,FALSE) &gt;= (test!$B$34)/1440),1,0)</f>
        <v>0</v>
      </c>
      <c r="AB54" s="3">
        <f>IF(AND(VLOOKUP(AB$1,test!$A$3:$F$32,5,FALSE) - VLOOKUP($B54,test!$A$3:$G$32,6,FALSE) &gt;= (test!$B$34)/1440),1,0)</f>
        <v>0</v>
      </c>
      <c r="AC54" s="3">
        <f>IF(AND(VLOOKUP(AC$1,test!$A$3:$F$32,5,FALSE) - VLOOKUP($B54,test!$A$3:$G$32,6,FALSE) &gt;= (test!$B$34)/1440),1,0)</f>
        <v>0</v>
      </c>
      <c r="AD54" s="3">
        <f>IF(AND(VLOOKUP(AD$1,test!$A$3:$F$32,5,FALSE) - VLOOKUP($B54,test!$A$3:$G$32,6,FALSE) &gt;= (test!$B$34)/1440),1,0)</f>
        <v>0</v>
      </c>
      <c r="AE54" s="3">
        <f>IF(AND(VLOOKUP(AE$1,test!$A$3:$F$32,5,FALSE) - VLOOKUP($B54,test!$A$3:$G$32,6,FALSE) &gt;= (test!$B$34)/1440),1,0)</f>
        <v>0</v>
      </c>
      <c r="AF54" s="3">
        <f>IF(AND(VLOOKUP(AF$1,test!$A$3:$F$32,5,FALSE) - VLOOKUP($B54,test!$A$3:$G$32,6,FALSE) &gt;= (test!$B$34)/1440),1,0)</f>
        <v>0</v>
      </c>
      <c r="AG54" s="3">
        <f>IF(AND(VLOOKUP(AG$1,test!$A$3:$F$32,5,FALSE) - VLOOKUP($B54,test!$A$3:$G$32,6,FALSE) &gt;= (test!$B$34)/1440),1,0)</f>
        <v>0</v>
      </c>
    </row>
    <row r="55" spans="1:33" x14ac:dyDescent="0.25">
      <c r="A55" t="s">
        <v>59</v>
      </c>
      <c r="B55" t="s">
        <v>33</v>
      </c>
      <c r="C55">
        <v>0</v>
      </c>
      <c r="D55" s="3">
        <f>IF(AND(VLOOKUP(D$1,test!$A$3:$F$32,5,FALSE) - VLOOKUP($B55,test!$A$3:$G$32,6,FALSE) &gt;= (test!$B$34)/1440),1,0)</f>
        <v>0</v>
      </c>
      <c r="E55" s="3">
        <f>IF(AND(VLOOKUP(E$1,test!$A$3:$F$32,5,FALSE) - VLOOKUP($B55,test!$A$3:$G$32,6,FALSE) &gt;= (test!$B$34)/1440),1,0)</f>
        <v>0</v>
      </c>
      <c r="F55" s="3">
        <f>IF(AND(VLOOKUP(F$1,test!$A$3:$F$32,5,FALSE) - VLOOKUP($B55,test!$A$3:$G$32,6,FALSE) &gt;= (test!$B$34)/1440),1,0)</f>
        <v>0</v>
      </c>
      <c r="G55" s="3">
        <f>IF(AND(VLOOKUP(G$1,test!$A$3:$F$32,5,FALSE) - VLOOKUP($B55,test!$A$3:$G$32,6,FALSE) &gt;= (test!$B$34)/1440),1,0)</f>
        <v>0</v>
      </c>
      <c r="H55" s="3">
        <f>IF(AND(VLOOKUP(H$1,test!$A$3:$F$32,5,FALSE) - VLOOKUP($B55,test!$A$3:$G$32,6,FALSE) &gt;= (test!$B$34)/1440),1,0)</f>
        <v>0</v>
      </c>
      <c r="I55" s="3">
        <f>IF(AND(VLOOKUP(I$1,test!$A$3:$F$32,5,FALSE) - VLOOKUP($B55,test!$A$3:$G$32,6,FALSE) &gt;= (test!$B$34)/1440),1,0)</f>
        <v>0</v>
      </c>
      <c r="J55" s="3">
        <f>IF(AND(VLOOKUP(J$1,test!$A$3:$F$32,5,FALSE) - VLOOKUP($B55,test!$A$3:$G$32,6,FALSE) &gt;= (test!$B$34)/1440),1,0)</f>
        <v>0</v>
      </c>
      <c r="K55" s="3">
        <f>IF(AND(VLOOKUP(K$1,test!$A$3:$F$32,5,FALSE) - VLOOKUP($B55,test!$A$3:$G$32,6,FALSE) &gt;= (test!$B$34)/1440),1,0)</f>
        <v>0</v>
      </c>
      <c r="L55" s="3">
        <f>IF(AND(VLOOKUP(L$1,test!$A$3:$F$32,5,FALSE) - VLOOKUP($B55,test!$A$3:$G$32,6,FALSE) &gt;= (test!$B$34)/1440),1,0)</f>
        <v>0</v>
      </c>
      <c r="M55" s="3">
        <f>IF(AND(VLOOKUP(M$1,test!$A$3:$F$32,5,FALSE) - VLOOKUP($B55,test!$A$3:$G$32,6,FALSE) &gt;= (test!$B$34)/1440),1,0)</f>
        <v>0</v>
      </c>
      <c r="N55" s="3">
        <f>IF(AND(VLOOKUP(N$1,test!$A$3:$F$32,5,FALSE) - VLOOKUP($B55,test!$A$3:$G$32,6,FALSE) &gt;= (test!$B$34)/1440),1,0)</f>
        <v>0</v>
      </c>
      <c r="O55" s="3">
        <f>IF(AND(VLOOKUP(O$1,test!$A$3:$F$32,5,FALSE) - VLOOKUP($B55,test!$A$3:$G$32,6,FALSE) &gt;= (test!$B$34)/1440),1,0)</f>
        <v>0</v>
      </c>
      <c r="P55" s="3">
        <f>IF(AND(VLOOKUP(P$1,test!$A$3:$F$32,5,FALSE) - VLOOKUP($B55,test!$A$3:$G$32,6,FALSE) &gt;= (test!$B$34)/1440),1,0)</f>
        <v>0</v>
      </c>
      <c r="Q55" s="3">
        <f>IF(AND(VLOOKUP(Q$1,test!$A$3:$F$32,5,FALSE) - VLOOKUP($B55,test!$A$3:$G$32,6,FALSE) &gt;= (test!$B$34)/1440),1,0)</f>
        <v>0</v>
      </c>
      <c r="R55" s="3">
        <f>IF(AND(VLOOKUP(R$1,test!$A$3:$F$32,5,FALSE) - VLOOKUP($B55,test!$A$3:$G$32,6,FALSE) &gt;= (test!$B$34)/1440),1,0)</f>
        <v>0</v>
      </c>
      <c r="S55" s="3">
        <f>IF(AND(VLOOKUP(S$1,test!$A$3:$F$32,5,FALSE) - VLOOKUP($B55,test!$A$3:$G$32,6,FALSE) &gt;= (test!$B$34)/1440),1,0)</f>
        <v>0</v>
      </c>
      <c r="T55" s="3">
        <f>IF(AND(VLOOKUP(T$1,test!$A$3:$F$32,5,FALSE) - VLOOKUP($B55,test!$A$3:$G$32,6,FALSE) &gt;= (test!$B$34)/1440),1,0)</f>
        <v>0</v>
      </c>
      <c r="U55" s="3">
        <f>IF(AND(VLOOKUP(U$1,test!$A$3:$F$32,5,FALSE) - VLOOKUP($B55,test!$A$3:$G$32,6,FALSE) &gt;= (test!$B$34)/1440),1,0)</f>
        <v>0</v>
      </c>
      <c r="V55" s="3">
        <f>IF(AND(VLOOKUP(V$1,test!$A$3:$F$32,5,FALSE) - VLOOKUP($B55,test!$A$3:$G$32,6,FALSE) &gt;= (test!$B$34)/1440),1,0)</f>
        <v>0</v>
      </c>
      <c r="W55" s="3">
        <f>IF(AND(VLOOKUP(W$1,test!$A$3:$F$32,5,FALSE) - VLOOKUP($B55,test!$A$3:$G$32,6,FALSE) &gt;= (test!$B$34)/1440),1,0)</f>
        <v>0</v>
      </c>
      <c r="X55" s="3">
        <f>IF(AND(VLOOKUP(X$1,test!$A$3:$F$32,5,FALSE) - VLOOKUP($B55,test!$A$3:$G$32,6,FALSE) &gt;= (test!$B$34)/1440),1,0)</f>
        <v>0</v>
      </c>
      <c r="Y55" s="3">
        <f>IF(AND(VLOOKUP(Y$1,test!$A$3:$F$32,5,FALSE) - VLOOKUP($B55,test!$A$3:$G$32,6,FALSE) &gt;= (test!$B$34)/1440),1,0)</f>
        <v>0</v>
      </c>
      <c r="Z55" s="3">
        <f>IF(AND(VLOOKUP(Z$1,test!$A$3:$F$32,5,FALSE) - VLOOKUP($B55,test!$A$3:$G$32,6,FALSE) &gt;= (test!$B$34)/1440),1,0)</f>
        <v>0</v>
      </c>
      <c r="AA55" s="3">
        <f>IF(AND(VLOOKUP(AA$1,test!$A$3:$F$32,5,FALSE) - VLOOKUP($B55,test!$A$3:$G$32,6,FALSE) &gt;= (test!$B$34)/1440),1,0)</f>
        <v>0</v>
      </c>
      <c r="AB55" s="3">
        <f>IF(AND(VLOOKUP(AB$1,test!$A$3:$F$32,5,FALSE) - VLOOKUP($B55,test!$A$3:$G$32,6,FALSE) &gt;= (test!$B$34)/1440),1,0)</f>
        <v>0</v>
      </c>
      <c r="AC55" s="3">
        <f>IF(AND(VLOOKUP(AC$1,test!$A$3:$F$32,5,FALSE) - VLOOKUP($B55,test!$A$3:$G$32,6,FALSE) &gt;= (test!$B$34)/1440),1,0)</f>
        <v>0</v>
      </c>
      <c r="AD55" s="3">
        <f>IF(AND(VLOOKUP(AD$1,test!$A$3:$F$32,5,FALSE) - VLOOKUP($B55,test!$A$3:$G$32,6,FALSE) &gt;= (test!$B$34)/1440),1,0)</f>
        <v>0</v>
      </c>
      <c r="AE55" s="3">
        <f>IF(AND(VLOOKUP(AE$1,test!$A$3:$F$32,5,FALSE) - VLOOKUP($B55,test!$A$3:$G$32,6,FALSE) &gt;= (test!$B$34)/1440),1,0)</f>
        <v>0</v>
      </c>
      <c r="AF55" s="3">
        <f>IF(AND(VLOOKUP(AF$1,test!$A$3:$F$32,5,FALSE) - VLOOKUP($B55,test!$A$3:$G$32,6,FALSE) &gt;= (test!$B$34)/1440),1,0)</f>
        <v>0</v>
      </c>
      <c r="AG55" s="3">
        <f>IF(AND(VLOOKUP(AG$1,test!$A$3:$F$32,5,FALSE) - VLOOKUP($B55,test!$A$3:$G$32,6,FALSE) &gt;= (test!$B$34)/1440),1,0)</f>
        <v>0</v>
      </c>
    </row>
    <row r="56" spans="1:33" x14ac:dyDescent="0.25">
      <c r="A56" t="s">
        <v>59</v>
      </c>
      <c r="B56" t="s">
        <v>34</v>
      </c>
      <c r="C56">
        <v>0</v>
      </c>
      <c r="D56" s="3">
        <f>IF(AND(VLOOKUP(D$1,test!$A$3:$F$32,5,FALSE) - VLOOKUP($B56,test!$A$3:$G$32,6,FALSE) &gt;= (test!$B$34)/1440),1,0)</f>
        <v>0</v>
      </c>
      <c r="E56" s="3">
        <f>IF(AND(VLOOKUP(E$1,test!$A$3:$F$32,5,FALSE) - VLOOKUP($B56,test!$A$3:$G$32,6,FALSE) &gt;= (test!$B$34)/1440),1,0)</f>
        <v>0</v>
      </c>
      <c r="F56" s="3">
        <f>IF(AND(VLOOKUP(F$1,test!$A$3:$F$32,5,FALSE) - VLOOKUP($B56,test!$A$3:$G$32,6,FALSE) &gt;= (test!$B$34)/1440),1,0)</f>
        <v>1</v>
      </c>
      <c r="G56" s="3">
        <f>IF(AND(VLOOKUP(G$1,test!$A$3:$F$32,5,FALSE) - VLOOKUP($B56,test!$A$3:$G$32,6,FALSE) &gt;= (test!$B$34)/1440),1,0)</f>
        <v>1</v>
      </c>
      <c r="H56" s="3">
        <f>IF(AND(VLOOKUP(H$1,test!$A$3:$F$32,5,FALSE) - VLOOKUP($B56,test!$A$3:$G$32,6,FALSE) &gt;= (test!$B$34)/1440),1,0)</f>
        <v>1</v>
      </c>
      <c r="I56" s="3">
        <f>IF(AND(VLOOKUP(I$1,test!$A$3:$F$32,5,FALSE) - VLOOKUP($B56,test!$A$3:$G$32,6,FALSE) &gt;= (test!$B$34)/1440),1,0)</f>
        <v>1</v>
      </c>
      <c r="J56" s="3">
        <f>IF(AND(VLOOKUP(J$1,test!$A$3:$F$32,5,FALSE) - VLOOKUP($B56,test!$A$3:$G$32,6,FALSE) &gt;= (test!$B$34)/1440),1,0)</f>
        <v>1</v>
      </c>
      <c r="K56" s="3">
        <f>IF(AND(VLOOKUP(K$1,test!$A$3:$F$32,5,FALSE) - VLOOKUP($B56,test!$A$3:$G$32,6,FALSE) &gt;= (test!$B$34)/1440),1,0)</f>
        <v>1</v>
      </c>
      <c r="L56" s="3">
        <f>IF(AND(VLOOKUP(L$1,test!$A$3:$F$32,5,FALSE) - VLOOKUP($B56,test!$A$3:$G$32,6,FALSE) &gt;= (test!$B$34)/1440),1,0)</f>
        <v>0</v>
      </c>
      <c r="M56" s="3">
        <f>IF(AND(VLOOKUP(M$1,test!$A$3:$F$32,5,FALSE) - VLOOKUP($B56,test!$A$3:$G$32,6,FALSE) &gt;= (test!$B$34)/1440),1,0)</f>
        <v>0</v>
      </c>
      <c r="N56" s="3">
        <f>IF(AND(VLOOKUP(N$1,test!$A$3:$F$32,5,FALSE) - VLOOKUP($B56,test!$A$3:$G$32,6,FALSE) &gt;= (test!$B$34)/1440),1,0)</f>
        <v>1</v>
      </c>
      <c r="O56" s="3">
        <f>IF(AND(VLOOKUP(O$1,test!$A$3:$F$32,5,FALSE) - VLOOKUP($B56,test!$A$3:$G$32,6,FALSE) &gt;= (test!$B$34)/1440),1,0)</f>
        <v>1</v>
      </c>
      <c r="P56" s="3">
        <f>IF(AND(VLOOKUP(P$1,test!$A$3:$F$32,5,FALSE) - VLOOKUP($B56,test!$A$3:$G$32,6,FALSE) &gt;= (test!$B$34)/1440),1,0)</f>
        <v>1</v>
      </c>
      <c r="Q56" s="3">
        <f>IF(AND(VLOOKUP(Q$1,test!$A$3:$F$32,5,FALSE) - VLOOKUP($B56,test!$A$3:$G$32,6,FALSE) &gt;= (test!$B$34)/1440),1,0)</f>
        <v>0</v>
      </c>
      <c r="R56" s="3">
        <f>IF(AND(VLOOKUP(R$1,test!$A$3:$F$32,5,FALSE) - VLOOKUP($B56,test!$A$3:$G$32,6,FALSE) &gt;= (test!$B$34)/1440),1,0)</f>
        <v>0</v>
      </c>
      <c r="S56" s="3">
        <f>IF(AND(VLOOKUP(S$1,test!$A$3:$F$32,5,FALSE) - VLOOKUP($B56,test!$A$3:$G$32,6,FALSE) &gt;= (test!$B$34)/1440),1,0)</f>
        <v>0</v>
      </c>
      <c r="T56" s="3">
        <f>IF(AND(VLOOKUP(T$1,test!$A$3:$F$32,5,FALSE) - VLOOKUP($B56,test!$A$3:$G$32,6,FALSE) &gt;= (test!$B$34)/1440),1,0)</f>
        <v>0</v>
      </c>
      <c r="U56" s="3">
        <f>IF(AND(VLOOKUP(U$1,test!$A$3:$F$32,5,FALSE) - VLOOKUP($B56,test!$A$3:$G$32,6,FALSE) &gt;= (test!$B$34)/1440),1,0)</f>
        <v>1</v>
      </c>
      <c r="V56" s="3">
        <f>IF(AND(VLOOKUP(V$1,test!$A$3:$F$32,5,FALSE) - VLOOKUP($B56,test!$A$3:$G$32,6,FALSE) &gt;= (test!$B$34)/1440),1,0)</f>
        <v>1</v>
      </c>
      <c r="W56" s="3">
        <f>IF(AND(VLOOKUP(W$1,test!$A$3:$F$32,5,FALSE) - VLOOKUP($B56,test!$A$3:$G$32,6,FALSE) &gt;= (test!$B$34)/1440),1,0)</f>
        <v>1</v>
      </c>
      <c r="X56" s="3">
        <f>IF(AND(VLOOKUP(X$1,test!$A$3:$F$32,5,FALSE) - VLOOKUP($B56,test!$A$3:$G$32,6,FALSE) &gt;= (test!$B$34)/1440),1,0)</f>
        <v>1</v>
      </c>
      <c r="Y56" s="3">
        <f>IF(AND(VLOOKUP(Y$1,test!$A$3:$F$32,5,FALSE) - VLOOKUP($B56,test!$A$3:$G$32,6,FALSE) &gt;= (test!$B$34)/1440),1,0)</f>
        <v>1</v>
      </c>
      <c r="Z56" s="3">
        <f>IF(AND(VLOOKUP(Z$1,test!$A$3:$F$32,5,FALSE) - VLOOKUP($B56,test!$A$3:$G$32,6,FALSE) &gt;= (test!$B$34)/1440),1,0)</f>
        <v>0</v>
      </c>
      <c r="AA56" s="3">
        <f>IF(AND(VLOOKUP(AA$1,test!$A$3:$F$32,5,FALSE) - VLOOKUP($B56,test!$A$3:$G$32,6,FALSE) &gt;= (test!$B$34)/1440),1,0)</f>
        <v>0</v>
      </c>
      <c r="AB56" s="3">
        <f>IF(AND(VLOOKUP(AB$1,test!$A$3:$F$32,5,FALSE) - VLOOKUP($B56,test!$A$3:$G$32,6,FALSE) &gt;= (test!$B$34)/1440),1,0)</f>
        <v>1</v>
      </c>
      <c r="AC56" s="3">
        <f>IF(AND(VLOOKUP(AC$1,test!$A$3:$F$32,5,FALSE) - VLOOKUP($B56,test!$A$3:$G$32,6,FALSE) &gt;= (test!$B$34)/1440),1,0)</f>
        <v>1</v>
      </c>
      <c r="AD56" s="3">
        <f>IF(AND(VLOOKUP(AD$1,test!$A$3:$F$32,5,FALSE) - VLOOKUP($B56,test!$A$3:$G$32,6,FALSE) &gt;= (test!$B$34)/1440),1,0)</f>
        <v>1</v>
      </c>
      <c r="AE56" s="3">
        <f>IF(AND(VLOOKUP(AE$1,test!$A$3:$F$32,5,FALSE) - VLOOKUP($B56,test!$A$3:$G$32,6,FALSE) &gt;= (test!$B$34)/1440),1,0)</f>
        <v>0</v>
      </c>
      <c r="AF56" s="3">
        <f>IF(AND(VLOOKUP(AF$1,test!$A$3:$F$32,5,FALSE) - VLOOKUP($B56,test!$A$3:$G$32,6,FALSE) &gt;= (test!$B$34)/1440),1,0)</f>
        <v>1</v>
      </c>
      <c r="AG56" s="3">
        <f>IF(AND(VLOOKUP(AG$1,test!$A$3:$F$32,5,FALSE) - VLOOKUP($B56,test!$A$3:$G$32,6,FALSE) &gt;= (test!$B$34)/1440),1,0)</f>
        <v>1</v>
      </c>
    </row>
    <row r="57" spans="1:33" x14ac:dyDescent="0.25">
      <c r="A57" t="s">
        <v>59</v>
      </c>
      <c r="B57" t="s">
        <v>35</v>
      </c>
      <c r="C57">
        <v>0</v>
      </c>
      <c r="D57" s="3">
        <f>IF(AND(VLOOKUP(D$1,test!$A$3:$F$32,5,FALSE) - VLOOKUP($B57,test!$A$3:$G$32,6,FALSE) &gt;= (test!$B$34)/1440),1,0)</f>
        <v>0</v>
      </c>
      <c r="E57" s="3">
        <f>IF(AND(VLOOKUP(E$1,test!$A$3:$F$32,5,FALSE) - VLOOKUP($B57,test!$A$3:$G$32,6,FALSE) &gt;= (test!$B$34)/1440),1,0)</f>
        <v>0</v>
      </c>
      <c r="F57" s="3">
        <f>IF(AND(VLOOKUP(F$1,test!$A$3:$F$32,5,FALSE) - VLOOKUP($B57,test!$A$3:$G$32,6,FALSE) &gt;= (test!$B$34)/1440),1,0)</f>
        <v>0</v>
      </c>
      <c r="G57" s="3">
        <f>IF(AND(VLOOKUP(G$1,test!$A$3:$F$32,5,FALSE) - VLOOKUP($B57,test!$A$3:$G$32,6,FALSE) &gt;= (test!$B$34)/1440),1,0)</f>
        <v>0</v>
      </c>
      <c r="H57" s="3">
        <f>IF(AND(VLOOKUP(H$1,test!$A$3:$F$32,5,FALSE) - VLOOKUP($B57,test!$A$3:$G$32,6,FALSE) &gt;= (test!$B$34)/1440),1,0)</f>
        <v>1</v>
      </c>
      <c r="I57" s="3">
        <f>IF(AND(VLOOKUP(I$1,test!$A$3:$F$32,5,FALSE) - VLOOKUP($B57,test!$A$3:$G$32,6,FALSE) &gt;= (test!$B$34)/1440),1,0)</f>
        <v>1</v>
      </c>
      <c r="J57" s="3">
        <f>IF(AND(VLOOKUP(J$1,test!$A$3:$F$32,5,FALSE) - VLOOKUP($B57,test!$A$3:$G$32,6,FALSE) &gt;= (test!$B$34)/1440),1,0)</f>
        <v>1</v>
      </c>
      <c r="K57" s="3">
        <f>IF(AND(VLOOKUP(K$1,test!$A$3:$F$32,5,FALSE) - VLOOKUP($B57,test!$A$3:$G$32,6,FALSE) &gt;= (test!$B$34)/1440),1,0)</f>
        <v>1</v>
      </c>
      <c r="L57" s="3">
        <f>IF(AND(VLOOKUP(L$1,test!$A$3:$F$32,5,FALSE) - VLOOKUP($B57,test!$A$3:$G$32,6,FALSE) &gt;= (test!$B$34)/1440),1,0)</f>
        <v>0</v>
      </c>
      <c r="M57" s="3">
        <f>IF(AND(VLOOKUP(M$1,test!$A$3:$F$32,5,FALSE) - VLOOKUP($B57,test!$A$3:$G$32,6,FALSE) &gt;= (test!$B$34)/1440),1,0)</f>
        <v>0</v>
      </c>
      <c r="N57" s="3">
        <f>IF(AND(VLOOKUP(N$1,test!$A$3:$F$32,5,FALSE) - VLOOKUP($B57,test!$A$3:$G$32,6,FALSE) &gt;= (test!$B$34)/1440),1,0)</f>
        <v>0</v>
      </c>
      <c r="O57" s="3">
        <f>IF(AND(VLOOKUP(O$1,test!$A$3:$F$32,5,FALSE) - VLOOKUP($B57,test!$A$3:$G$32,6,FALSE) &gt;= (test!$B$34)/1440),1,0)</f>
        <v>1</v>
      </c>
      <c r="P57" s="3">
        <f>IF(AND(VLOOKUP(P$1,test!$A$3:$F$32,5,FALSE) - VLOOKUP($B57,test!$A$3:$G$32,6,FALSE) &gt;= (test!$B$34)/1440),1,0)</f>
        <v>1</v>
      </c>
      <c r="Q57" s="3">
        <f>IF(AND(VLOOKUP(Q$1,test!$A$3:$F$32,5,FALSE) - VLOOKUP($B57,test!$A$3:$G$32,6,FALSE) &gt;= (test!$B$34)/1440),1,0)</f>
        <v>0</v>
      </c>
      <c r="R57" s="3">
        <f>IF(AND(VLOOKUP(R$1,test!$A$3:$F$32,5,FALSE) - VLOOKUP($B57,test!$A$3:$G$32,6,FALSE) &gt;= (test!$B$34)/1440),1,0)</f>
        <v>0</v>
      </c>
      <c r="S57" s="3">
        <f>IF(AND(VLOOKUP(S$1,test!$A$3:$F$32,5,FALSE) - VLOOKUP($B57,test!$A$3:$G$32,6,FALSE) &gt;= (test!$B$34)/1440),1,0)</f>
        <v>0</v>
      </c>
      <c r="T57" s="3">
        <f>IF(AND(VLOOKUP(T$1,test!$A$3:$F$32,5,FALSE) - VLOOKUP($B57,test!$A$3:$G$32,6,FALSE) &gt;= (test!$B$34)/1440),1,0)</f>
        <v>0</v>
      </c>
      <c r="U57" s="3">
        <f>IF(AND(VLOOKUP(U$1,test!$A$3:$F$32,5,FALSE) - VLOOKUP($B57,test!$A$3:$G$32,6,FALSE) &gt;= (test!$B$34)/1440),1,0)</f>
        <v>0</v>
      </c>
      <c r="V57" s="3">
        <f>IF(AND(VLOOKUP(V$1,test!$A$3:$F$32,5,FALSE) - VLOOKUP($B57,test!$A$3:$G$32,6,FALSE) &gt;= (test!$B$34)/1440),1,0)</f>
        <v>0</v>
      </c>
      <c r="W57" s="3">
        <f>IF(AND(VLOOKUP(W$1,test!$A$3:$F$32,5,FALSE) - VLOOKUP($B57,test!$A$3:$G$32,6,FALSE) &gt;= (test!$B$34)/1440),1,0)</f>
        <v>1</v>
      </c>
      <c r="X57" s="3">
        <f>IF(AND(VLOOKUP(X$1,test!$A$3:$F$32,5,FALSE) - VLOOKUP($B57,test!$A$3:$G$32,6,FALSE) &gt;= (test!$B$34)/1440),1,0)</f>
        <v>1</v>
      </c>
      <c r="Y57" s="3">
        <f>IF(AND(VLOOKUP(Y$1,test!$A$3:$F$32,5,FALSE) - VLOOKUP($B57,test!$A$3:$G$32,6,FALSE) &gt;= (test!$B$34)/1440),1,0)</f>
        <v>1</v>
      </c>
      <c r="Z57" s="3">
        <f>IF(AND(VLOOKUP(Z$1,test!$A$3:$F$32,5,FALSE) - VLOOKUP($B57,test!$A$3:$G$32,6,FALSE) &gt;= (test!$B$34)/1440),1,0)</f>
        <v>0</v>
      </c>
      <c r="AA57" s="3">
        <f>IF(AND(VLOOKUP(AA$1,test!$A$3:$F$32,5,FALSE) - VLOOKUP($B57,test!$A$3:$G$32,6,FALSE) &gt;= (test!$B$34)/1440),1,0)</f>
        <v>0</v>
      </c>
      <c r="AB57" s="3">
        <f>IF(AND(VLOOKUP(AB$1,test!$A$3:$F$32,5,FALSE) - VLOOKUP($B57,test!$A$3:$G$32,6,FALSE) &gt;= (test!$B$34)/1440),1,0)</f>
        <v>0</v>
      </c>
      <c r="AC57" s="3">
        <f>IF(AND(VLOOKUP(AC$1,test!$A$3:$F$32,5,FALSE) - VLOOKUP($B57,test!$A$3:$G$32,6,FALSE) &gt;= (test!$B$34)/1440),1,0)</f>
        <v>0</v>
      </c>
      <c r="AD57" s="3">
        <f>IF(AND(VLOOKUP(AD$1,test!$A$3:$F$32,5,FALSE) - VLOOKUP($B57,test!$A$3:$G$32,6,FALSE) &gt;= (test!$B$34)/1440),1,0)</f>
        <v>1</v>
      </c>
      <c r="AE57" s="3">
        <f>IF(AND(VLOOKUP(AE$1,test!$A$3:$F$32,5,FALSE) - VLOOKUP($B57,test!$A$3:$G$32,6,FALSE) &gt;= (test!$B$34)/1440),1,0)</f>
        <v>0</v>
      </c>
      <c r="AF57" s="3">
        <f>IF(AND(VLOOKUP(AF$1,test!$A$3:$F$32,5,FALSE) - VLOOKUP($B57,test!$A$3:$G$32,6,FALSE) &gt;= (test!$B$34)/1440),1,0)</f>
        <v>0</v>
      </c>
      <c r="AG57" s="3">
        <f>IF(AND(VLOOKUP(AG$1,test!$A$3:$F$32,5,FALSE) - VLOOKUP($B57,test!$A$3:$G$32,6,FALSE) &gt;= (test!$B$34)/1440),1,0)</f>
        <v>0</v>
      </c>
    </row>
    <row r="58" spans="1:33" x14ac:dyDescent="0.25">
      <c r="A58" t="s">
        <v>59</v>
      </c>
      <c r="B58" t="s">
        <v>36</v>
      </c>
      <c r="C58">
        <v>0</v>
      </c>
      <c r="D58" s="3">
        <f>IF(AND(VLOOKUP(D$1,test!$A$3:$F$32,5,FALSE) - VLOOKUP($B58,test!$A$3:$G$32,6,FALSE) &gt;= (test!$B$34)/1440),1,0)</f>
        <v>0</v>
      </c>
      <c r="E58" s="3">
        <f>IF(AND(VLOOKUP(E$1,test!$A$3:$F$32,5,FALSE) - VLOOKUP($B58,test!$A$3:$G$32,6,FALSE) &gt;= (test!$B$34)/1440),1,0)</f>
        <v>0</v>
      </c>
      <c r="F58" s="3">
        <f>IF(AND(VLOOKUP(F$1,test!$A$3:$F$32,5,FALSE) - VLOOKUP($B58,test!$A$3:$G$32,6,FALSE) &gt;= (test!$B$34)/1440),1,0)</f>
        <v>0</v>
      </c>
      <c r="G58" s="3">
        <f>IF(AND(VLOOKUP(G$1,test!$A$3:$F$32,5,FALSE) - VLOOKUP($B58,test!$A$3:$G$32,6,FALSE) &gt;= (test!$B$34)/1440),1,0)</f>
        <v>0</v>
      </c>
      <c r="H58" s="3">
        <f>IF(AND(VLOOKUP(H$1,test!$A$3:$F$32,5,FALSE) - VLOOKUP($B58,test!$A$3:$G$32,6,FALSE) &gt;= (test!$B$34)/1440),1,0)</f>
        <v>0</v>
      </c>
      <c r="I58" s="3">
        <f>IF(AND(VLOOKUP(I$1,test!$A$3:$F$32,5,FALSE) - VLOOKUP($B58,test!$A$3:$G$32,6,FALSE) &gt;= (test!$B$34)/1440),1,0)</f>
        <v>0</v>
      </c>
      <c r="J58" s="3">
        <f>IF(AND(VLOOKUP(J$1,test!$A$3:$F$32,5,FALSE) - VLOOKUP($B58,test!$A$3:$G$32,6,FALSE) &gt;= (test!$B$34)/1440),1,0)</f>
        <v>1</v>
      </c>
      <c r="K58" s="3">
        <f>IF(AND(VLOOKUP(K$1,test!$A$3:$F$32,5,FALSE) - VLOOKUP($B58,test!$A$3:$G$32,6,FALSE) &gt;= (test!$B$34)/1440),1,0)</f>
        <v>1</v>
      </c>
      <c r="L58" s="3">
        <f>IF(AND(VLOOKUP(L$1,test!$A$3:$F$32,5,FALSE) - VLOOKUP($B58,test!$A$3:$G$32,6,FALSE) &gt;= (test!$B$34)/1440),1,0)</f>
        <v>0</v>
      </c>
      <c r="M58" s="3">
        <f>IF(AND(VLOOKUP(M$1,test!$A$3:$F$32,5,FALSE) - VLOOKUP($B58,test!$A$3:$G$32,6,FALSE) &gt;= (test!$B$34)/1440),1,0)</f>
        <v>0</v>
      </c>
      <c r="N58" s="3">
        <f>IF(AND(VLOOKUP(N$1,test!$A$3:$F$32,5,FALSE) - VLOOKUP($B58,test!$A$3:$G$32,6,FALSE) &gt;= (test!$B$34)/1440),1,0)</f>
        <v>0</v>
      </c>
      <c r="O58" s="3">
        <f>IF(AND(VLOOKUP(O$1,test!$A$3:$F$32,5,FALSE) - VLOOKUP($B58,test!$A$3:$G$32,6,FALSE) &gt;= (test!$B$34)/1440),1,0)</f>
        <v>1</v>
      </c>
      <c r="P58" s="3">
        <f>IF(AND(VLOOKUP(P$1,test!$A$3:$F$32,5,FALSE) - VLOOKUP($B58,test!$A$3:$G$32,6,FALSE) &gt;= (test!$B$34)/1440),1,0)</f>
        <v>1</v>
      </c>
      <c r="Q58" s="3">
        <f>IF(AND(VLOOKUP(Q$1,test!$A$3:$F$32,5,FALSE) - VLOOKUP($B58,test!$A$3:$G$32,6,FALSE) &gt;= (test!$B$34)/1440),1,0)</f>
        <v>0</v>
      </c>
      <c r="R58" s="3">
        <f>IF(AND(VLOOKUP(R$1,test!$A$3:$F$32,5,FALSE) - VLOOKUP($B58,test!$A$3:$G$32,6,FALSE) &gt;= (test!$B$34)/1440),1,0)</f>
        <v>0</v>
      </c>
      <c r="S58" s="3">
        <f>IF(AND(VLOOKUP(S$1,test!$A$3:$F$32,5,FALSE) - VLOOKUP($B58,test!$A$3:$G$32,6,FALSE) &gt;= (test!$B$34)/1440),1,0)</f>
        <v>0</v>
      </c>
      <c r="T58" s="3">
        <f>IF(AND(VLOOKUP(T$1,test!$A$3:$F$32,5,FALSE) - VLOOKUP($B58,test!$A$3:$G$32,6,FALSE) &gt;= (test!$B$34)/1440),1,0)</f>
        <v>0</v>
      </c>
      <c r="U58" s="3">
        <f>IF(AND(VLOOKUP(U$1,test!$A$3:$F$32,5,FALSE) - VLOOKUP($B58,test!$A$3:$G$32,6,FALSE) &gt;= (test!$B$34)/1440),1,0)</f>
        <v>0</v>
      </c>
      <c r="V58" s="3">
        <f>IF(AND(VLOOKUP(V$1,test!$A$3:$F$32,5,FALSE) - VLOOKUP($B58,test!$A$3:$G$32,6,FALSE) &gt;= (test!$B$34)/1440),1,0)</f>
        <v>0</v>
      </c>
      <c r="W58" s="3">
        <f>IF(AND(VLOOKUP(W$1,test!$A$3:$F$32,5,FALSE) - VLOOKUP($B58,test!$A$3:$G$32,6,FALSE) &gt;= (test!$B$34)/1440),1,0)</f>
        <v>0</v>
      </c>
      <c r="X58" s="3">
        <f>IF(AND(VLOOKUP(X$1,test!$A$3:$F$32,5,FALSE) - VLOOKUP($B58,test!$A$3:$G$32,6,FALSE) &gt;= (test!$B$34)/1440),1,0)</f>
        <v>1</v>
      </c>
      <c r="Y58" s="3">
        <f>IF(AND(VLOOKUP(Y$1,test!$A$3:$F$32,5,FALSE) - VLOOKUP($B58,test!$A$3:$G$32,6,FALSE) &gt;= (test!$B$34)/1440),1,0)</f>
        <v>1</v>
      </c>
      <c r="Z58" s="3">
        <f>IF(AND(VLOOKUP(Z$1,test!$A$3:$F$32,5,FALSE) - VLOOKUP($B58,test!$A$3:$G$32,6,FALSE) &gt;= (test!$B$34)/1440),1,0)</f>
        <v>0</v>
      </c>
      <c r="AA58" s="3">
        <f>IF(AND(VLOOKUP(AA$1,test!$A$3:$F$32,5,FALSE) - VLOOKUP($B58,test!$A$3:$G$32,6,FALSE) &gt;= (test!$B$34)/1440),1,0)</f>
        <v>0</v>
      </c>
      <c r="AB58" s="3">
        <f>IF(AND(VLOOKUP(AB$1,test!$A$3:$F$32,5,FALSE) - VLOOKUP($B58,test!$A$3:$G$32,6,FALSE) &gt;= (test!$B$34)/1440),1,0)</f>
        <v>0</v>
      </c>
      <c r="AC58" s="3">
        <f>IF(AND(VLOOKUP(AC$1,test!$A$3:$F$32,5,FALSE) - VLOOKUP($B58,test!$A$3:$G$32,6,FALSE) &gt;= (test!$B$34)/1440),1,0)</f>
        <v>0</v>
      </c>
      <c r="AD58" s="3">
        <f>IF(AND(VLOOKUP(AD$1,test!$A$3:$F$32,5,FALSE) - VLOOKUP($B58,test!$A$3:$G$32,6,FALSE) &gt;= (test!$B$34)/1440),1,0)</f>
        <v>0</v>
      </c>
      <c r="AE58" s="3">
        <f>IF(AND(VLOOKUP(AE$1,test!$A$3:$F$32,5,FALSE) - VLOOKUP($B58,test!$A$3:$G$32,6,FALSE) &gt;= (test!$B$34)/1440),1,0)</f>
        <v>0</v>
      </c>
      <c r="AF58" s="3">
        <f>IF(AND(VLOOKUP(AF$1,test!$A$3:$F$32,5,FALSE) - VLOOKUP($B58,test!$A$3:$G$32,6,FALSE) &gt;= (test!$B$34)/1440),1,0)</f>
        <v>0</v>
      </c>
      <c r="AG58" s="3">
        <f>IF(AND(VLOOKUP(AG$1,test!$A$3:$F$32,5,FALSE) - VLOOKUP($B58,test!$A$3:$G$32,6,FALSE) &gt;= (test!$B$34)/1440),1,0)</f>
        <v>0</v>
      </c>
    </row>
    <row r="59" spans="1:33" x14ac:dyDescent="0.25">
      <c r="A59" t="s">
        <v>59</v>
      </c>
      <c r="B59" t="s">
        <v>37</v>
      </c>
      <c r="C59">
        <v>0</v>
      </c>
      <c r="D59" s="3">
        <f>IF(AND(VLOOKUP(D$1,test!$A$3:$F$32,5,FALSE) - VLOOKUP($B59,test!$A$3:$G$32,6,FALSE) &gt;= (test!$B$34)/1440),1,0)</f>
        <v>0</v>
      </c>
      <c r="E59" s="3">
        <f>IF(AND(VLOOKUP(E$1,test!$A$3:$F$32,5,FALSE) - VLOOKUP($B59,test!$A$3:$G$32,6,FALSE) &gt;= (test!$B$34)/1440),1,0)</f>
        <v>0</v>
      </c>
      <c r="F59" s="3">
        <f>IF(AND(VLOOKUP(F$1,test!$A$3:$F$32,5,FALSE) - VLOOKUP($B59,test!$A$3:$G$32,6,FALSE) &gt;= (test!$B$34)/1440),1,0)</f>
        <v>0</v>
      </c>
      <c r="G59" s="3">
        <f>IF(AND(VLOOKUP(G$1,test!$A$3:$F$32,5,FALSE) - VLOOKUP($B59,test!$A$3:$G$32,6,FALSE) &gt;= (test!$B$34)/1440),1,0)</f>
        <v>0</v>
      </c>
      <c r="H59" s="3">
        <f>IF(AND(VLOOKUP(H$1,test!$A$3:$F$32,5,FALSE) - VLOOKUP($B59,test!$A$3:$G$32,6,FALSE) &gt;= (test!$B$34)/1440),1,0)</f>
        <v>0</v>
      </c>
      <c r="I59" s="3">
        <f>IF(AND(VLOOKUP(I$1,test!$A$3:$F$32,5,FALSE) - VLOOKUP($B59,test!$A$3:$G$32,6,FALSE) &gt;= (test!$B$34)/1440),1,0)</f>
        <v>0</v>
      </c>
      <c r="J59" s="3">
        <f>IF(AND(VLOOKUP(J$1,test!$A$3:$F$32,5,FALSE) - VLOOKUP($B59,test!$A$3:$G$32,6,FALSE) &gt;= (test!$B$34)/1440),1,0)</f>
        <v>0</v>
      </c>
      <c r="K59" s="3">
        <f>IF(AND(VLOOKUP(K$1,test!$A$3:$F$32,5,FALSE) - VLOOKUP($B59,test!$A$3:$G$32,6,FALSE) &gt;= (test!$B$34)/1440),1,0)</f>
        <v>1</v>
      </c>
      <c r="L59" s="3">
        <f>IF(AND(VLOOKUP(L$1,test!$A$3:$F$32,5,FALSE) - VLOOKUP($B59,test!$A$3:$G$32,6,FALSE) &gt;= (test!$B$34)/1440),1,0)</f>
        <v>0</v>
      </c>
      <c r="M59" s="3">
        <f>IF(AND(VLOOKUP(M$1,test!$A$3:$F$32,5,FALSE) - VLOOKUP($B59,test!$A$3:$G$32,6,FALSE) &gt;= (test!$B$34)/1440),1,0)</f>
        <v>0</v>
      </c>
      <c r="N59" s="3">
        <f>IF(AND(VLOOKUP(N$1,test!$A$3:$F$32,5,FALSE) - VLOOKUP($B59,test!$A$3:$G$32,6,FALSE) &gt;= (test!$B$34)/1440),1,0)</f>
        <v>0</v>
      </c>
      <c r="O59" s="3">
        <f>IF(AND(VLOOKUP(O$1,test!$A$3:$F$32,5,FALSE) - VLOOKUP($B59,test!$A$3:$G$32,6,FALSE) &gt;= (test!$B$34)/1440),1,0)</f>
        <v>1</v>
      </c>
      <c r="P59" s="3">
        <f>IF(AND(VLOOKUP(P$1,test!$A$3:$F$32,5,FALSE) - VLOOKUP($B59,test!$A$3:$G$32,6,FALSE) &gt;= (test!$B$34)/1440),1,0)</f>
        <v>1</v>
      </c>
      <c r="Q59" s="3">
        <f>IF(AND(VLOOKUP(Q$1,test!$A$3:$F$32,5,FALSE) - VLOOKUP($B59,test!$A$3:$G$32,6,FALSE) &gt;= (test!$B$34)/1440),1,0)</f>
        <v>0</v>
      </c>
      <c r="R59" s="3">
        <f>IF(AND(VLOOKUP(R$1,test!$A$3:$F$32,5,FALSE) - VLOOKUP($B59,test!$A$3:$G$32,6,FALSE) &gt;= (test!$B$34)/1440),1,0)</f>
        <v>0</v>
      </c>
      <c r="S59" s="3">
        <f>IF(AND(VLOOKUP(S$1,test!$A$3:$F$32,5,FALSE) - VLOOKUP($B59,test!$A$3:$G$32,6,FALSE) &gt;= (test!$B$34)/1440),1,0)</f>
        <v>0</v>
      </c>
      <c r="T59" s="3">
        <f>IF(AND(VLOOKUP(T$1,test!$A$3:$F$32,5,FALSE) - VLOOKUP($B59,test!$A$3:$G$32,6,FALSE) &gt;= (test!$B$34)/1440),1,0)</f>
        <v>0</v>
      </c>
      <c r="U59" s="3">
        <f>IF(AND(VLOOKUP(U$1,test!$A$3:$F$32,5,FALSE) - VLOOKUP($B59,test!$A$3:$G$32,6,FALSE) &gt;= (test!$B$34)/1440),1,0)</f>
        <v>0</v>
      </c>
      <c r="V59" s="3">
        <f>IF(AND(VLOOKUP(V$1,test!$A$3:$F$32,5,FALSE) - VLOOKUP($B59,test!$A$3:$G$32,6,FALSE) &gt;= (test!$B$34)/1440),1,0)</f>
        <v>0</v>
      </c>
      <c r="W59" s="3">
        <f>IF(AND(VLOOKUP(W$1,test!$A$3:$F$32,5,FALSE) - VLOOKUP($B59,test!$A$3:$G$32,6,FALSE) &gt;= (test!$B$34)/1440),1,0)</f>
        <v>0</v>
      </c>
      <c r="X59" s="3">
        <f>IF(AND(VLOOKUP(X$1,test!$A$3:$F$32,5,FALSE) - VLOOKUP($B59,test!$A$3:$G$32,6,FALSE) &gt;= (test!$B$34)/1440),1,0)</f>
        <v>0</v>
      </c>
      <c r="Y59" s="3">
        <f>IF(AND(VLOOKUP(Y$1,test!$A$3:$F$32,5,FALSE) - VLOOKUP($B59,test!$A$3:$G$32,6,FALSE) &gt;= (test!$B$34)/1440),1,0)</f>
        <v>1</v>
      </c>
      <c r="Z59" s="3">
        <f>IF(AND(VLOOKUP(Z$1,test!$A$3:$F$32,5,FALSE) - VLOOKUP($B59,test!$A$3:$G$32,6,FALSE) &gt;= (test!$B$34)/1440),1,0)</f>
        <v>0</v>
      </c>
      <c r="AA59" s="3">
        <f>IF(AND(VLOOKUP(AA$1,test!$A$3:$F$32,5,FALSE) - VLOOKUP($B59,test!$A$3:$G$32,6,FALSE) &gt;= (test!$B$34)/1440),1,0)</f>
        <v>0</v>
      </c>
      <c r="AB59" s="3">
        <f>IF(AND(VLOOKUP(AB$1,test!$A$3:$F$32,5,FALSE) - VLOOKUP($B59,test!$A$3:$G$32,6,FALSE) &gt;= (test!$B$34)/1440),1,0)</f>
        <v>0</v>
      </c>
      <c r="AC59" s="3">
        <f>IF(AND(VLOOKUP(AC$1,test!$A$3:$F$32,5,FALSE) - VLOOKUP($B59,test!$A$3:$G$32,6,FALSE) &gt;= (test!$B$34)/1440),1,0)</f>
        <v>0</v>
      </c>
      <c r="AD59" s="3">
        <f>IF(AND(VLOOKUP(AD$1,test!$A$3:$F$32,5,FALSE) - VLOOKUP($B59,test!$A$3:$G$32,6,FALSE) &gt;= (test!$B$34)/1440),1,0)</f>
        <v>0</v>
      </c>
      <c r="AE59" s="3">
        <f>IF(AND(VLOOKUP(AE$1,test!$A$3:$F$32,5,FALSE) - VLOOKUP($B59,test!$A$3:$G$32,6,FALSE) &gt;= (test!$B$34)/1440),1,0)</f>
        <v>0</v>
      </c>
      <c r="AF59" s="3">
        <f>IF(AND(VLOOKUP(AF$1,test!$A$3:$F$32,5,FALSE) - VLOOKUP($B59,test!$A$3:$G$32,6,FALSE) &gt;= (test!$B$34)/1440),1,0)</f>
        <v>0</v>
      </c>
      <c r="AG59" s="3">
        <f>IF(AND(VLOOKUP(AG$1,test!$A$3:$F$32,5,FALSE) - VLOOKUP($B59,test!$A$3:$G$32,6,FALSE) &gt;= (test!$B$34)/1440),1,0)</f>
        <v>0</v>
      </c>
    </row>
    <row r="60" spans="1:33" x14ac:dyDescent="0.25">
      <c r="A60" t="s">
        <v>59</v>
      </c>
      <c r="B60" t="s">
        <v>38</v>
      </c>
      <c r="C60">
        <v>0</v>
      </c>
      <c r="D60" s="3">
        <f>IF(AND(VLOOKUP(D$1,test!$A$3:$F$32,5,FALSE) - VLOOKUP($B60,test!$A$3:$G$32,6,FALSE) &gt;= (test!$B$34)/1440),1,0)</f>
        <v>0</v>
      </c>
      <c r="E60" s="3">
        <f>IF(AND(VLOOKUP(E$1,test!$A$3:$F$32,5,FALSE) - VLOOKUP($B60,test!$A$3:$G$32,6,FALSE) &gt;= (test!$B$34)/1440),1,0)</f>
        <v>0</v>
      </c>
      <c r="F60" s="3">
        <f>IF(AND(VLOOKUP(F$1,test!$A$3:$F$32,5,FALSE) - VLOOKUP($B60,test!$A$3:$G$32,6,FALSE) &gt;= (test!$B$34)/1440),1,0)</f>
        <v>0</v>
      </c>
      <c r="G60" s="3">
        <f>IF(AND(VLOOKUP(G$1,test!$A$3:$F$32,5,FALSE) - VLOOKUP($B60,test!$A$3:$G$32,6,FALSE) &gt;= (test!$B$34)/1440),1,0)</f>
        <v>0</v>
      </c>
      <c r="H60" s="3">
        <f>IF(AND(VLOOKUP(H$1,test!$A$3:$F$32,5,FALSE) - VLOOKUP($B60,test!$A$3:$G$32,6,FALSE) &gt;= (test!$B$34)/1440),1,0)</f>
        <v>0</v>
      </c>
      <c r="I60" s="3">
        <f>IF(AND(VLOOKUP(I$1,test!$A$3:$F$32,5,FALSE) - VLOOKUP($B60,test!$A$3:$G$32,6,FALSE) &gt;= (test!$B$34)/1440),1,0)</f>
        <v>0</v>
      </c>
      <c r="J60" s="3">
        <f>IF(AND(VLOOKUP(J$1,test!$A$3:$F$32,5,FALSE) - VLOOKUP($B60,test!$A$3:$G$32,6,FALSE) &gt;= (test!$B$34)/1440),1,0)</f>
        <v>0</v>
      </c>
      <c r="K60" s="3">
        <f>IF(AND(VLOOKUP(K$1,test!$A$3:$F$32,5,FALSE) - VLOOKUP($B60,test!$A$3:$G$32,6,FALSE) &gt;= (test!$B$34)/1440),1,0)</f>
        <v>0</v>
      </c>
      <c r="L60" s="3">
        <f>IF(AND(VLOOKUP(L$1,test!$A$3:$F$32,5,FALSE) - VLOOKUP($B60,test!$A$3:$G$32,6,FALSE) &gt;= (test!$B$34)/1440),1,0)</f>
        <v>0</v>
      </c>
      <c r="M60" s="3">
        <f>IF(AND(VLOOKUP(M$1,test!$A$3:$F$32,5,FALSE) - VLOOKUP($B60,test!$A$3:$G$32,6,FALSE) &gt;= (test!$B$34)/1440),1,0)</f>
        <v>0</v>
      </c>
      <c r="N60" s="3">
        <f>IF(AND(VLOOKUP(N$1,test!$A$3:$F$32,5,FALSE) - VLOOKUP($B60,test!$A$3:$G$32,6,FALSE) &gt;= (test!$B$34)/1440),1,0)</f>
        <v>0</v>
      </c>
      <c r="O60" s="3">
        <f>IF(AND(VLOOKUP(O$1,test!$A$3:$F$32,5,FALSE) - VLOOKUP($B60,test!$A$3:$G$32,6,FALSE) &gt;= (test!$B$34)/1440),1,0)</f>
        <v>0</v>
      </c>
      <c r="P60" s="3">
        <f>IF(AND(VLOOKUP(P$1,test!$A$3:$F$32,5,FALSE) - VLOOKUP($B60,test!$A$3:$G$32,6,FALSE) &gt;= (test!$B$34)/1440),1,0)</f>
        <v>0</v>
      </c>
      <c r="Q60" s="3">
        <f>IF(AND(VLOOKUP(Q$1,test!$A$3:$F$32,5,FALSE) - VLOOKUP($B60,test!$A$3:$G$32,6,FALSE) &gt;= (test!$B$34)/1440),1,0)</f>
        <v>0</v>
      </c>
      <c r="R60" s="3">
        <f>IF(AND(VLOOKUP(R$1,test!$A$3:$F$32,5,FALSE) - VLOOKUP($B60,test!$A$3:$G$32,6,FALSE) &gt;= (test!$B$34)/1440),1,0)</f>
        <v>0</v>
      </c>
      <c r="S60" s="3">
        <f>IF(AND(VLOOKUP(S$1,test!$A$3:$F$32,5,FALSE) - VLOOKUP($B60,test!$A$3:$G$32,6,FALSE) &gt;= (test!$B$34)/1440),1,0)</f>
        <v>0</v>
      </c>
      <c r="T60" s="3">
        <f>IF(AND(VLOOKUP(T$1,test!$A$3:$F$32,5,FALSE) - VLOOKUP($B60,test!$A$3:$G$32,6,FALSE) &gt;= (test!$B$34)/1440),1,0)</f>
        <v>0</v>
      </c>
      <c r="U60" s="3">
        <f>IF(AND(VLOOKUP(U$1,test!$A$3:$F$32,5,FALSE) - VLOOKUP($B60,test!$A$3:$G$32,6,FALSE) &gt;= (test!$B$34)/1440),1,0)</f>
        <v>0</v>
      </c>
      <c r="V60" s="3">
        <f>IF(AND(VLOOKUP(V$1,test!$A$3:$F$32,5,FALSE) - VLOOKUP($B60,test!$A$3:$G$32,6,FALSE) &gt;= (test!$B$34)/1440),1,0)</f>
        <v>0</v>
      </c>
      <c r="W60" s="3">
        <f>IF(AND(VLOOKUP(W$1,test!$A$3:$F$32,5,FALSE) - VLOOKUP($B60,test!$A$3:$G$32,6,FALSE) &gt;= (test!$B$34)/1440),1,0)</f>
        <v>0</v>
      </c>
      <c r="X60" s="3">
        <f>IF(AND(VLOOKUP(X$1,test!$A$3:$F$32,5,FALSE) - VLOOKUP($B60,test!$A$3:$G$32,6,FALSE) &gt;= (test!$B$34)/1440),1,0)</f>
        <v>0</v>
      </c>
      <c r="Y60" s="3">
        <f>IF(AND(VLOOKUP(Y$1,test!$A$3:$F$32,5,FALSE) - VLOOKUP($B60,test!$A$3:$G$32,6,FALSE) &gt;= (test!$B$34)/1440),1,0)</f>
        <v>0</v>
      </c>
      <c r="Z60" s="3">
        <f>IF(AND(VLOOKUP(Z$1,test!$A$3:$F$32,5,FALSE) - VLOOKUP($B60,test!$A$3:$G$32,6,FALSE) &gt;= (test!$B$34)/1440),1,0)</f>
        <v>0</v>
      </c>
      <c r="AA60" s="3">
        <f>IF(AND(VLOOKUP(AA$1,test!$A$3:$F$32,5,FALSE) - VLOOKUP($B60,test!$A$3:$G$32,6,FALSE) &gt;= (test!$B$34)/1440),1,0)</f>
        <v>0</v>
      </c>
      <c r="AB60" s="3">
        <f>IF(AND(VLOOKUP(AB$1,test!$A$3:$F$32,5,FALSE) - VLOOKUP($B60,test!$A$3:$G$32,6,FALSE) &gt;= (test!$B$34)/1440),1,0)</f>
        <v>0</v>
      </c>
      <c r="AC60" s="3">
        <f>IF(AND(VLOOKUP(AC$1,test!$A$3:$F$32,5,FALSE) - VLOOKUP($B60,test!$A$3:$G$32,6,FALSE) &gt;= (test!$B$34)/1440),1,0)</f>
        <v>0</v>
      </c>
      <c r="AD60" s="3">
        <f>IF(AND(VLOOKUP(AD$1,test!$A$3:$F$32,5,FALSE) - VLOOKUP($B60,test!$A$3:$G$32,6,FALSE) &gt;= (test!$B$34)/1440),1,0)</f>
        <v>0</v>
      </c>
      <c r="AE60" s="3">
        <f>IF(AND(VLOOKUP(AE$1,test!$A$3:$F$32,5,FALSE) - VLOOKUP($B60,test!$A$3:$G$32,6,FALSE) &gt;= (test!$B$34)/1440),1,0)</f>
        <v>0</v>
      </c>
      <c r="AF60" s="3">
        <f>IF(AND(VLOOKUP(AF$1,test!$A$3:$F$32,5,FALSE) - VLOOKUP($B60,test!$A$3:$G$32,6,FALSE) &gt;= (test!$B$34)/1440),1,0)</f>
        <v>0</v>
      </c>
      <c r="AG60" s="3">
        <f>IF(AND(VLOOKUP(AG$1,test!$A$3:$F$32,5,FALSE) - VLOOKUP($B60,test!$A$3:$G$32,6,FALSE) &gt;= (test!$B$34)/1440),1,0)</f>
        <v>0</v>
      </c>
    </row>
    <row r="61" spans="1:33" x14ac:dyDescent="0.25">
      <c r="A61" t="s">
        <v>59</v>
      </c>
      <c r="B61" t="s">
        <v>39</v>
      </c>
      <c r="C61">
        <v>0</v>
      </c>
      <c r="D61" s="3">
        <f>IF(AND(VLOOKUP(D$1,test!$A$3:$F$32,5,FALSE) - VLOOKUP($B61,test!$A$3:$G$32,6,FALSE) &gt;= (test!$B$34)/1440),1,0)</f>
        <v>0</v>
      </c>
      <c r="E61" s="3">
        <f>IF(AND(VLOOKUP(E$1,test!$A$3:$F$32,5,FALSE) - VLOOKUP($B61,test!$A$3:$G$32,6,FALSE) &gt;= (test!$B$34)/1440),1,0)</f>
        <v>0</v>
      </c>
      <c r="F61" s="3">
        <f>IF(AND(VLOOKUP(F$1,test!$A$3:$F$32,5,FALSE) - VLOOKUP($B61,test!$A$3:$G$32,6,FALSE) &gt;= (test!$B$34)/1440),1,0)</f>
        <v>1</v>
      </c>
      <c r="G61" s="3">
        <f>IF(AND(VLOOKUP(G$1,test!$A$3:$F$32,5,FALSE) - VLOOKUP($B61,test!$A$3:$G$32,6,FALSE) &gt;= (test!$B$34)/1440),1,0)</f>
        <v>1</v>
      </c>
      <c r="H61" s="3">
        <f>IF(AND(VLOOKUP(H$1,test!$A$3:$F$32,5,FALSE) - VLOOKUP($B61,test!$A$3:$G$32,6,FALSE) &gt;= (test!$B$34)/1440),1,0)</f>
        <v>1</v>
      </c>
      <c r="I61" s="3">
        <f>IF(AND(VLOOKUP(I$1,test!$A$3:$F$32,5,FALSE) - VLOOKUP($B61,test!$A$3:$G$32,6,FALSE) &gt;= (test!$B$34)/1440),1,0)</f>
        <v>1</v>
      </c>
      <c r="J61" s="3">
        <f>IF(AND(VLOOKUP(J$1,test!$A$3:$F$32,5,FALSE) - VLOOKUP($B61,test!$A$3:$G$32,6,FALSE) &gt;= (test!$B$34)/1440),1,0)</f>
        <v>1</v>
      </c>
      <c r="K61" s="3">
        <f>IF(AND(VLOOKUP(K$1,test!$A$3:$F$32,5,FALSE) - VLOOKUP($B61,test!$A$3:$G$32,6,FALSE) &gt;= (test!$B$34)/1440),1,0)</f>
        <v>1</v>
      </c>
      <c r="L61" s="3">
        <f>IF(AND(VLOOKUP(L$1,test!$A$3:$F$32,5,FALSE) - VLOOKUP($B61,test!$A$3:$G$32,6,FALSE) &gt;= (test!$B$34)/1440),1,0)</f>
        <v>0</v>
      </c>
      <c r="M61" s="3">
        <f>IF(AND(VLOOKUP(M$1,test!$A$3:$F$32,5,FALSE) - VLOOKUP($B61,test!$A$3:$G$32,6,FALSE) &gt;= (test!$B$34)/1440),1,0)</f>
        <v>0</v>
      </c>
      <c r="N61" s="3">
        <f>IF(AND(VLOOKUP(N$1,test!$A$3:$F$32,5,FALSE) - VLOOKUP($B61,test!$A$3:$G$32,6,FALSE) &gt;= (test!$B$34)/1440),1,0)</f>
        <v>1</v>
      </c>
      <c r="O61" s="3">
        <f>IF(AND(VLOOKUP(O$1,test!$A$3:$F$32,5,FALSE) - VLOOKUP($B61,test!$A$3:$G$32,6,FALSE) &gt;= (test!$B$34)/1440),1,0)</f>
        <v>1</v>
      </c>
      <c r="P61" s="3">
        <f>IF(AND(VLOOKUP(P$1,test!$A$3:$F$32,5,FALSE) - VLOOKUP($B61,test!$A$3:$G$32,6,FALSE) &gt;= (test!$B$34)/1440),1,0)</f>
        <v>1</v>
      </c>
      <c r="Q61" s="3">
        <f>IF(AND(VLOOKUP(Q$1,test!$A$3:$F$32,5,FALSE) - VLOOKUP($B61,test!$A$3:$G$32,6,FALSE) &gt;= (test!$B$34)/1440),1,0)</f>
        <v>0</v>
      </c>
      <c r="R61" s="3">
        <f>IF(AND(VLOOKUP(R$1,test!$A$3:$F$32,5,FALSE) - VLOOKUP($B61,test!$A$3:$G$32,6,FALSE) &gt;= (test!$B$34)/1440),1,0)</f>
        <v>0</v>
      </c>
      <c r="S61" s="3">
        <f>IF(AND(VLOOKUP(S$1,test!$A$3:$F$32,5,FALSE) - VLOOKUP($B61,test!$A$3:$G$32,6,FALSE) &gt;= (test!$B$34)/1440),1,0)</f>
        <v>0</v>
      </c>
      <c r="T61" s="3">
        <f>IF(AND(VLOOKUP(T$1,test!$A$3:$F$32,5,FALSE) - VLOOKUP($B61,test!$A$3:$G$32,6,FALSE) &gt;= (test!$B$34)/1440),1,0)</f>
        <v>0</v>
      </c>
      <c r="U61" s="3">
        <f>IF(AND(VLOOKUP(U$1,test!$A$3:$F$32,5,FALSE) - VLOOKUP($B61,test!$A$3:$G$32,6,FALSE) &gt;= (test!$B$34)/1440),1,0)</f>
        <v>1</v>
      </c>
      <c r="V61" s="3">
        <f>IF(AND(VLOOKUP(V$1,test!$A$3:$F$32,5,FALSE) - VLOOKUP($B61,test!$A$3:$G$32,6,FALSE) &gt;= (test!$B$34)/1440),1,0)</f>
        <v>1</v>
      </c>
      <c r="W61" s="3">
        <f>IF(AND(VLOOKUP(W$1,test!$A$3:$F$32,5,FALSE) - VLOOKUP($B61,test!$A$3:$G$32,6,FALSE) &gt;= (test!$B$34)/1440),1,0)</f>
        <v>1</v>
      </c>
      <c r="X61" s="3">
        <f>IF(AND(VLOOKUP(X$1,test!$A$3:$F$32,5,FALSE) - VLOOKUP($B61,test!$A$3:$G$32,6,FALSE) &gt;= (test!$B$34)/1440),1,0)</f>
        <v>1</v>
      </c>
      <c r="Y61" s="3">
        <f>IF(AND(VLOOKUP(Y$1,test!$A$3:$F$32,5,FALSE) - VLOOKUP($B61,test!$A$3:$G$32,6,FALSE) &gt;= (test!$B$34)/1440),1,0)</f>
        <v>1</v>
      </c>
      <c r="Z61" s="3">
        <f>IF(AND(VLOOKUP(Z$1,test!$A$3:$F$32,5,FALSE) - VLOOKUP($B61,test!$A$3:$G$32,6,FALSE) &gt;= (test!$B$34)/1440),1,0)</f>
        <v>0</v>
      </c>
      <c r="AA61" s="3">
        <f>IF(AND(VLOOKUP(AA$1,test!$A$3:$F$32,5,FALSE) - VLOOKUP($B61,test!$A$3:$G$32,6,FALSE) &gt;= (test!$B$34)/1440),1,0)</f>
        <v>0</v>
      </c>
      <c r="AB61" s="3">
        <f>IF(AND(VLOOKUP(AB$1,test!$A$3:$F$32,5,FALSE) - VLOOKUP($B61,test!$A$3:$G$32,6,FALSE) &gt;= (test!$B$34)/1440),1,0)</f>
        <v>1</v>
      </c>
      <c r="AC61" s="3">
        <f>IF(AND(VLOOKUP(AC$1,test!$A$3:$F$32,5,FALSE) - VLOOKUP($B61,test!$A$3:$G$32,6,FALSE) &gt;= (test!$B$34)/1440),1,0)</f>
        <v>1</v>
      </c>
      <c r="AD61" s="3">
        <f>IF(AND(VLOOKUP(AD$1,test!$A$3:$F$32,5,FALSE) - VLOOKUP($B61,test!$A$3:$G$32,6,FALSE) &gt;= (test!$B$34)/1440),1,0)</f>
        <v>1</v>
      </c>
      <c r="AE61" s="3">
        <f>IF(AND(VLOOKUP(AE$1,test!$A$3:$F$32,5,FALSE) - VLOOKUP($B61,test!$A$3:$G$32,6,FALSE) &gt;= (test!$B$34)/1440),1,0)</f>
        <v>0</v>
      </c>
      <c r="AF61" s="3">
        <f>IF(AND(VLOOKUP(AF$1,test!$A$3:$F$32,5,FALSE) - VLOOKUP($B61,test!$A$3:$G$32,6,FALSE) &gt;= (test!$B$34)/1440),1,0)</f>
        <v>1</v>
      </c>
      <c r="AG61" s="3">
        <f>IF(AND(VLOOKUP(AG$1,test!$A$3:$F$32,5,FALSE) - VLOOKUP($B61,test!$A$3:$G$32,6,FALSE) &gt;= (test!$B$34)/1440),1,0)</f>
        <v>1</v>
      </c>
    </row>
    <row r="62" spans="1:33" x14ac:dyDescent="0.25">
      <c r="A62" t="s">
        <v>59</v>
      </c>
      <c r="B62" t="s">
        <v>40</v>
      </c>
      <c r="C62">
        <v>0</v>
      </c>
      <c r="D62" s="3">
        <f>IF(AND(VLOOKUP(D$1,test!$A$3:$F$32,5,FALSE) - VLOOKUP($B62,test!$A$3:$G$32,6,FALSE) &gt;= (test!$B$34)/1440),1,0)</f>
        <v>0</v>
      </c>
      <c r="E62" s="3">
        <f>IF(AND(VLOOKUP(E$1,test!$A$3:$F$32,5,FALSE) - VLOOKUP($B62,test!$A$3:$G$32,6,FALSE) &gt;= (test!$B$34)/1440),1,0)</f>
        <v>0</v>
      </c>
      <c r="F62" s="3">
        <f>IF(AND(VLOOKUP(F$1,test!$A$3:$F$32,5,FALSE) - VLOOKUP($B62,test!$A$3:$G$32,6,FALSE) &gt;= (test!$B$34)/1440),1,0)</f>
        <v>0</v>
      </c>
      <c r="G62" s="3">
        <f>IF(AND(VLOOKUP(G$1,test!$A$3:$F$32,5,FALSE) - VLOOKUP($B62,test!$A$3:$G$32,6,FALSE) &gt;= (test!$B$34)/1440),1,0)</f>
        <v>0</v>
      </c>
      <c r="H62" s="3">
        <f>IF(AND(VLOOKUP(H$1,test!$A$3:$F$32,5,FALSE) - VLOOKUP($B62,test!$A$3:$G$32,6,FALSE) &gt;= (test!$B$34)/1440),1,0)</f>
        <v>0</v>
      </c>
      <c r="I62" s="3">
        <f>IF(AND(VLOOKUP(I$1,test!$A$3:$F$32,5,FALSE) - VLOOKUP($B62,test!$A$3:$G$32,6,FALSE) &gt;= (test!$B$34)/1440),1,0)</f>
        <v>0</v>
      </c>
      <c r="J62" s="3">
        <f>IF(AND(VLOOKUP(J$1,test!$A$3:$F$32,5,FALSE) - VLOOKUP($B62,test!$A$3:$G$32,6,FALSE) &gt;= (test!$B$34)/1440),1,0)</f>
        <v>0</v>
      </c>
      <c r="K62" s="3">
        <f>IF(AND(VLOOKUP(K$1,test!$A$3:$F$32,5,FALSE) - VLOOKUP($B62,test!$A$3:$G$32,6,FALSE) &gt;= (test!$B$34)/1440),1,0)</f>
        <v>1</v>
      </c>
      <c r="L62" s="3">
        <f>IF(AND(VLOOKUP(L$1,test!$A$3:$F$32,5,FALSE) - VLOOKUP($B62,test!$A$3:$G$32,6,FALSE) &gt;= (test!$B$34)/1440),1,0)</f>
        <v>0</v>
      </c>
      <c r="M62" s="3">
        <f>IF(AND(VLOOKUP(M$1,test!$A$3:$F$32,5,FALSE) - VLOOKUP($B62,test!$A$3:$G$32,6,FALSE) &gt;= (test!$B$34)/1440),1,0)</f>
        <v>0</v>
      </c>
      <c r="N62" s="3">
        <f>IF(AND(VLOOKUP(N$1,test!$A$3:$F$32,5,FALSE) - VLOOKUP($B62,test!$A$3:$G$32,6,FALSE) &gt;= (test!$B$34)/1440),1,0)</f>
        <v>0</v>
      </c>
      <c r="O62" s="3">
        <f>IF(AND(VLOOKUP(O$1,test!$A$3:$F$32,5,FALSE) - VLOOKUP($B62,test!$A$3:$G$32,6,FALSE) &gt;= (test!$B$34)/1440),1,0)</f>
        <v>1</v>
      </c>
      <c r="P62" s="3">
        <f>IF(AND(VLOOKUP(P$1,test!$A$3:$F$32,5,FALSE) - VLOOKUP($B62,test!$A$3:$G$32,6,FALSE) &gt;= (test!$B$34)/1440),1,0)</f>
        <v>1</v>
      </c>
      <c r="Q62" s="3">
        <f>IF(AND(VLOOKUP(Q$1,test!$A$3:$F$32,5,FALSE) - VLOOKUP($B62,test!$A$3:$G$32,6,FALSE) &gt;= (test!$B$34)/1440),1,0)</f>
        <v>0</v>
      </c>
      <c r="R62" s="3">
        <f>IF(AND(VLOOKUP(R$1,test!$A$3:$F$32,5,FALSE) - VLOOKUP($B62,test!$A$3:$G$32,6,FALSE) &gt;= (test!$B$34)/1440),1,0)</f>
        <v>0</v>
      </c>
      <c r="S62" s="3">
        <f>IF(AND(VLOOKUP(S$1,test!$A$3:$F$32,5,FALSE) - VLOOKUP($B62,test!$A$3:$G$32,6,FALSE) &gt;= (test!$B$34)/1440),1,0)</f>
        <v>0</v>
      </c>
      <c r="T62" s="3">
        <f>IF(AND(VLOOKUP(T$1,test!$A$3:$F$32,5,FALSE) - VLOOKUP($B62,test!$A$3:$G$32,6,FALSE) &gt;= (test!$B$34)/1440),1,0)</f>
        <v>0</v>
      </c>
      <c r="U62" s="3">
        <f>IF(AND(VLOOKUP(U$1,test!$A$3:$F$32,5,FALSE) - VLOOKUP($B62,test!$A$3:$G$32,6,FALSE) &gt;= (test!$B$34)/1440),1,0)</f>
        <v>0</v>
      </c>
      <c r="V62" s="3">
        <f>IF(AND(VLOOKUP(V$1,test!$A$3:$F$32,5,FALSE) - VLOOKUP($B62,test!$A$3:$G$32,6,FALSE) &gt;= (test!$B$34)/1440),1,0)</f>
        <v>0</v>
      </c>
      <c r="W62" s="3">
        <f>IF(AND(VLOOKUP(W$1,test!$A$3:$F$32,5,FALSE) - VLOOKUP($B62,test!$A$3:$G$32,6,FALSE) &gt;= (test!$B$34)/1440),1,0)</f>
        <v>0</v>
      </c>
      <c r="X62" s="3">
        <f>IF(AND(VLOOKUP(X$1,test!$A$3:$F$32,5,FALSE) - VLOOKUP($B62,test!$A$3:$G$32,6,FALSE) &gt;= (test!$B$34)/1440),1,0)</f>
        <v>0</v>
      </c>
      <c r="Y62" s="3">
        <f>IF(AND(VLOOKUP(Y$1,test!$A$3:$F$32,5,FALSE) - VLOOKUP($B62,test!$A$3:$G$32,6,FALSE) &gt;= (test!$B$34)/1440),1,0)</f>
        <v>0</v>
      </c>
      <c r="Z62" s="3">
        <f>IF(AND(VLOOKUP(Z$1,test!$A$3:$F$32,5,FALSE) - VLOOKUP($B62,test!$A$3:$G$32,6,FALSE) &gt;= (test!$B$34)/1440),1,0)</f>
        <v>0</v>
      </c>
      <c r="AA62" s="3">
        <f>IF(AND(VLOOKUP(AA$1,test!$A$3:$F$32,5,FALSE) - VLOOKUP($B62,test!$A$3:$G$32,6,FALSE) &gt;= (test!$B$34)/1440),1,0)</f>
        <v>0</v>
      </c>
      <c r="AB62" s="3">
        <f>IF(AND(VLOOKUP(AB$1,test!$A$3:$F$32,5,FALSE) - VLOOKUP($B62,test!$A$3:$G$32,6,FALSE) &gt;= (test!$B$34)/1440),1,0)</f>
        <v>0</v>
      </c>
      <c r="AC62" s="3">
        <f>IF(AND(VLOOKUP(AC$1,test!$A$3:$F$32,5,FALSE) - VLOOKUP($B62,test!$A$3:$G$32,6,FALSE) &gt;= (test!$B$34)/1440),1,0)</f>
        <v>0</v>
      </c>
      <c r="AD62" s="3">
        <f>IF(AND(VLOOKUP(AD$1,test!$A$3:$F$32,5,FALSE) - VLOOKUP($B62,test!$A$3:$G$32,6,FALSE) &gt;= (test!$B$34)/1440),1,0)</f>
        <v>0</v>
      </c>
      <c r="AE62" s="3">
        <f>IF(AND(VLOOKUP(AE$1,test!$A$3:$F$32,5,FALSE) - VLOOKUP($B62,test!$A$3:$G$32,6,FALSE) &gt;= (test!$B$34)/1440),1,0)</f>
        <v>0</v>
      </c>
      <c r="AF62" s="3">
        <f>IF(AND(VLOOKUP(AF$1,test!$A$3:$F$32,5,FALSE) - VLOOKUP($B62,test!$A$3:$G$32,6,FALSE) &gt;= (test!$B$34)/1440),1,0)</f>
        <v>0</v>
      </c>
      <c r="AG62" s="3">
        <f>IF(AND(VLOOKUP(AG$1,test!$A$3:$F$32,5,FALSE) - VLOOKUP($B62,test!$A$3:$G$32,6,FALSE) &gt;= (test!$B$34)/1440),1,0)</f>
        <v>0</v>
      </c>
    </row>
    <row r="63" spans="1:33" x14ac:dyDescent="0.25">
      <c r="A63" t="s">
        <v>59</v>
      </c>
      <c r="B63" t="s">
        <v>41</v>
      </c>
      <c r="C63">
        <v>0</v>
      </c>
      <c r="D63" s="3">
        <f>IF(AND(VLOOKUP(D$1,test!$A$3:$F$32,5,FALSE) - VLOOKUP($B63,test!$A$3:$G$32,6,FALSE) &gt;= (test!$B$34)/1440),1,0)</f>
        <v>0</v>
      </c>
      <c r="E63" s="3">
        <f>IF(AND(VLOOKUP(E$1,test!$A$3:$F$32,5,FALSE) - VLOOKUP($B63,test!$A$3:$G$32,6,FALSE) &gt;= (test!$B$34)/1440),1,0)</f>
        <v>0</v>
      </c>
      <c r="F63" s="3">
        <f>IF(AND(VLOOKUP(F$1,test!$A$3:$F$32,5,FALSE) - VLOOKUP($B63,test!$A$3:$G$32,6,FALSE) &gt;= (test!$B$34)/1440),1,0)</f>
        <v>0</v>
      </c>
      <c r="G63" s="3">
        <f>IF(AND(VLOOKUP(G$1,test!$A$3:$F$32,5,FALSE) - VLOOKUP($B63,test!$A$3:$G$32,6,FALSE) &gt;= (test!$B$34)/1440),1,0)</f>
        <v>0</v>
      </c>
      <c r="H63" s="3">
        <f>IF(AND(VLOOKUP(H$1,test!$A$3:$F$32,5,FALSE) - VLOOKUP($B63,test!$A$3:$G$32,6,FALSE) &gt;= (test!$B$34)/1440),1,0)</f>
        <v>0</v>
      </c>
      <c r="I63" s="3">
        <f>IF(AND(VLOOKUP(I$1,test!$A$3:$F$32,5,FALSE) - VLOOKUP($B63,test!$A$3:$G$32,6,FALSE) &gt;= (test!$B$34)/1440),1,0)</f>
        <v>0</v>
      </c>
      <c r="J63" s="3">
        <f>IF(AND(VLOOKUP(J$1,test!$A$3:$F$32,5,FALSE) - VLOOKUP($B63,test!$A$3:$G$32,6,FALSE) &gt;= (test!$B$34)/1440),1,0)</f>
        <v>0</v>
      </c>
      <c r="K63" s="3">
        <f>IF(AND(VLOOKUP(K$1,test!$A$3:$F$32,5,FALSE) - VLOOKUP($B63,test!$A$3:$G$32,6,FALSE) &gt;= (test!$B$34)/1440),1,0)</f>
        <v>1</v>
      </c>
      <c r="L63" s="3">
        <f>IF(AND(VLOOKUP(L$1,test!$A$3:$F$32,5,FALSE) - VLOOKUP($B63,test!$A$3:$G$32,6,FALSE) &gt;= (test!$B$34)/1440),1,0)</f>
        <v>0</v>
      </c>
      <c r="M63" s="3">
        <f>IF(AND(VLOOKUP(M$1,test!$A$3:$F$32,5,FALSE) - VLOOKUP($B63,test!$A$3:$G$32,6,FALSE) &gt;= (test!$B$34)/1440),1,0)</f>
        <v>0</v>
      </c>
      <c r="N63" s="3">
        <f>IF(AND(VLOOKUP(N$1,test!$A$3:$F$32,5,FALSE) - VLOOKUP($B63,test!$A$3:$G$32,6,FALSE) &gt;= (test!$B$34)/1440),1,0)</f>
        <v>0</v>
      </c>
      <c r="O63" s="3">
        <f>IF(AND(VLOOKUP(O$1,test!$A$3:$F$32,5,FALSE) - VLOOKUP($B63,test!$A$3:$G$32,6,FALSE) &gt;= (test!$B$34)/1440),1,0)</f>
        <v>1</v>
      </c>
      <c r="P63" s="3">
        <f>IF(AND(VLOOKUP(P$1,test!$A$3:$F$32,5,FALSE) - VLOOKUP($B63,test!$A$3:$G$32,6,FALSE) &gt;= (test!$B$34)/1440),1,0)</f>
        <v>1</v>
      </c>
      <c r="Q63" s="3">
        <f>IF(AND(VLOOKUP(Q$1,test!$A$3:$F$32,5,FALSE) - VLOOKUP($B63,test!$A$3:$G$32,6,FALSE) &gt;= (test!$B$34)/1440),1,0)</f>
        <v>0</v>
      </c>
      <c r="R63" s="3">
        <f>IF(AND(VLOOKUP(R$1,test!$A$3:$F$32,5,FALSE) - VLOOKUP($B63,test!$A$3:$G$32,6,FALSE) &gt;= (test!$B$34)/1440),1,0)</f>
        <v>0</v>
      </c>
      <c r="S63" s="3">
        <f>IF(AND(VLOOKUP(S$1,test!$A$3:$F$32,5,FALSE) - VLOOKUP($B63,test!$A$3:$G$32,6,FALSE) &gt;= (test!$B$34)/1440),1,0)</f>
        <v>0</v>
      </c>
      <c r="T63" s="3">
        <f>IF(AND(VLOOKUP(T$1,test!$A$3:$F$32,5,FALSE) - VLOOKUP($B63,test!$A$3:$G$32,6,FALSE) &gt;= (test!$B$34)/1440),1,0)</f>
        <v>0</v>
      </c>
      <c r="U63" s="3">
        <f>IF(AND(VLOOKUP(U$1,test!$A$3:$F$32,5,FALSE) - VLOOKUP($B63,test!$A$3:$G$32,6,FALSE) &gt;= (test!$B$34)/1440),1,0)</f>
        <v>0</v>
      </c>
      <c r="V63" s="3">
        <f>IF(AND(VLOOKUP(V$1,test!$A$3:$F$32,5,FALSE) - VLOOKUP($B63,test!$A$3:$G$32,6,FALSE) &gt;= (test!$B$34)/1440),1,0)</f>
        <v>0</v>
      </c>
      <c r="W63" s="3">
        <f>IF(AND(VLOOKUP(W$1,test!$A$3:$F$32,5,FALSE) - VLOOKUP($B63,test!$A$3:$G$32,6,FALSE) &gt;= (test!$B$34)/1440),1,0)</f>
        <v>0</v>
      </c>
      <c r="X63" s="3">
        <f>IF(AND(VLOOKUP(X$1,test!$A$3:$F$32,5,FALSE) - VLOOKUP($B63,test!$A$3:$G$32,6,FALSE) &gt;= (test!$B$34)/1440),1,0)</f>
        <v>0</v>
      </c>
      <c r="Y63" s="3">
        <f>IF(AND(VLOOKUP(Y$1,test!$A$3:$F$32,5,FALSE) - VLOOKUP($B63,test!$A$3:$G$32,6,FALSE) &gt;= (test!$B$34)/1440),1,0)</f>
        <v>0</v>
      </c>
      <c r="Z63" s="3">
        <f>IF(AND(VLOOKUP(Z$1,test!$A$3:$F$32,5,FALSE) - VLOOKUP($B63,test!$A$3:$G$32,6,FALSE) &gt;= (test!$B$34)/1440),1,0)</f>
        <v>0</v>
      </c>
      <c r="AA63" s="3">
        <f>IF(AND(VLOOKUP(AA$1,test!$A$3:$F$32,5,FALSE) - VLOOKUP($B63,test!$A$3:$G$32,6,FALSE) &gt;= (test!$B$34)/1440),1,0)</f>
        <v>0</v>
      </c>
      <c r="AB63" s="3">
        <f>IF(AND(VLOOKUP(AB$1,test!$A$3:$F$32,5,FALSE) - VLOOKUP($B63,test!$A$3:$G$32,6,FALSE) &gt;= (test!$B$34)/1440),1,0)</f>
        <v>0</v>
      </c>
      <c r="AC63" s="3">
        <f>IF(AND(VLOOKUP(AC$1,test!$A$3:$F$32,5,FALSE) - VLOOKUP($B63,test!$A$3:$G$32,6,FALSE) &gt;= (test!$B$34)/1440),1,0)</f>
        <v>0</v>
      </c>
      <c r="AD63" s="3">
        <f>IF(AND(VLOOKUP(AD$1,test!$A$3:$F$32,5,FALSE) - VLOOKUP($B63,test!$A$3:$G$32,6,FALSE) &gt;= (test!$B$34)/1440),1,0)</f>
        <v>0</v>
      </c>
      <c r="AE63" s="3">
        <f>IF(AND(VLOOKUP(AE$1,test!$A$3:$F$32,5,FALSE) - VLOOKUP($B63,test!$A$3:$G$32,6,FALSE) &gt;= (test!$B$34)/1440),1,0)</f>
        <v>0</v>
      </c>
      <c r="AF63" s="3">
        <f>IF(AND(VLOOKUP(AF$1,test!$A$3:$F$32,5,FALSE) - VLOOKUP($B63,test!$A$3:$G$32,6,FALSE) &gt;= (test!$B$34)/1440),1,0)</f>
        <v>0</v>
      </c>
      <c r="AG63" s="3">
        <f>IF(AND(VLOOKUP(AG$1,test!$A$3:$F$32,5,FALSE) - VLOOKUP($B63,test!$A$3:$G$32,6,FALSE) &gt;= (test!$B$34)/1440),1,0)</f>
        <v>0</v>
      </c>
    </row>
    <row r="64" spans="1:33" x14ac:dyDescent="0.25">
      <c r="A64" t="s">
        <v>60</v>
      </c>
      <c r="B64" t="s">
        <v>47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</row>
    <row r="65" spans="1:33" x14ac:dyDescent="0.25">
      <c r="A65" t="s">
        <v>60</v>
      </c>
      <c r="B65" t="s">
        <v>6</v>
      </c>
      <c r="C65">
        <v>0</v>
      </c>
      <c r="D65" s="3">
        <f>IF(AND(VLOOKUP(D$1,test!$A$3:$F$32,5,FALSE) - VLOOKUP($B65,test!$A$3:$G$32,6,FALSE) &gt;= (test!$B$35)/1440),1,0)</f>
        <v>0</v>
      </c>
      <c r="E65" s="3">
        <f>IF(AND(VLOOKUP(E$1,test!$A$3:$F$32,5,FALSE) - VLOOKUP($B65,test!$A$3:$G$32,6,FALSE) &gt;= (test!$B$35)/1440),1,0)</f>
        <v>0</v>
      </c>
      <c r="F65" s="3">
        <f>IF(AND(VLOOKUP(F$1,test!$A$3:$F$32,5,FALSE) - VLOOKUP($B65,test!$A$3:$G$32,6,FALSE) &gt;= (test!$B$35)/1440),1,0)</f>
        <v>1</v>
      </c>
      <c r="G65" s="3">
        <f>IF(AND(VLOOKUP(G$1,test!$A$3:$F$32,5,FALSE) - VLOOKUP($B65,test!$A$3:$G$32,6,FALSE) &gt;= (test!$B$35)/1440),1,0)</f>
        <v>1</v>
      </c>
      <c r="H65" s="3">
        <f>IF(AND(VLOOKUP(H$1,test!$A$3:$F$32,5,FALSE) - VLOOKUP($B65,test!$A$3:$G$32,6,FALSE) &gt;= (test!$B$35)/1440),1,0)</f>
        <v>1</v>
      </c>
      <c r="I65" s="3">
        <f>IF(AND(VLOOKUP(I$1,test!$A$3:$F$32,5,FALSE) - VLOOKUP($B65,test!$A$3:$G$32,6,FALSE) &gt;= (test!$B$35)/1440),1,0)</f>
        <v>1</v>
      </c>
      <c r="J65" s="3">
        <f>IF(AND(VLOOKUP(J$1,test!$A$3:$F$32,5,FALSE) - VLOOKUP($B65,test!$A$3:$G$32,6,FALSE) &gt;= (test!$B$35)/1440),1,0)</f>
        <v>1</v>
      </c>
      <c r="K65" s="3">
        <f>IF(AND(VLOOKUP(K$1,test!$A$3:$F$32,5,FALSE) - VLOOKUP($B65,test!$A$3:$G$32,6,FALSE) &gt;= (test!$B$35)/1440),1,0)</f>
        <v>1</v>
      </c>
      <c r="L65" s="3">
        <f>IF(AND(VLOOKUP(L$1,test!$A$3:$F$32,5,FALSE) - VLOOKUP($B65,test!$A$3:$G$32,6,FALSE) &gt;= (test!$B$35)/1440),1,0)</f>
        <v>0</v>
      </c>
      <c r="M65" s="3">
        <f>IF(AND(VLOOKUP(M$1,test!$A$3:$F$32,5,FALSE) - VLOOKUP($B65,test!$A$3:$G$32,6,FALSE) &gt;= (test!$B$35)/1440),1,0)</f>
        <v>0</v>
      </c>
      <c r="N65" s="3">
        <f>IF(AND(VLOOKUP(N$1,test!$A$3:$F$32,5,FALSE) - VLOOKUP($B65,test!$A$3:$G$32,6,FALSE) &gt;= (test!$B$35)/1440),1,0)</f>
        <v>1</v>
      </c>
      <c r="O65" s="3">
        <f>IF(AND(VLOOKUP(O$1,test!$A$3:$F$32,5,FALSE) - VLOOKUP($B65,test!$A$3:$G$32,6,FALSE) &gt;= (test!$B$35)/1440),1,0)</f>
        <v>1</v>
      </c>
      <c r="P65" s="3">
        <f>IF(AND(VLOOKUP(P$1,test!$A$3:$F$32,5,FALSE) - VLOOKUP($B65,test!$A$3:$G$32,6,FALSE) &gt;= (test!$B$35)/1440),1,0)</f>
        <v>1</v>
      </c>
      <c r="Q65" s="3">
        <f>IF(AND(VLOOKUP(Q$1,test!$A$3:$F$32,5,FALSE) - VLOOKUP($B65,test!$A$3:$G$32,6,FALSE) &gt;= (test!$B$35)/1440),1,0)</f>
        <v>0</v>
      </c>
      <c r="R65" s="3">
        <f>IF(AND(VLOOKUP(R$1,test!$A$3:$F$32,5,FALSE) - VLOOKUP($B65,test!$A$3:$G$32,6,FALSE) &gt;= (test!$B$35)/1440),1,0)</f>
        <v>0</v>
      </c>
      <c r="S65" s="3">
        <f>IF(AND(VLOOKUP(S$1,test!$A$3:$F$32,5,FALSE) - VLOOKUP($B65,test!$A$3:$G$32,6,FALSE) &gt;= (test!$B$35)/1440),1,0)</f>
        <v>0</v>
      </c>
      <c r="T65" s="3">
        <f>IF(AND(VLOOKUP(T$1,test!$A$3:$F$32,5,FALSE) - VLOOKUP($B65,test!$A$3:$G$32,6,FALSE) &gt;= (test!$B$35)/1440),1,0)</f>
        <v>0</v>
      </c>
      <c r="U65" s="3">
        <f>IF(AND(VLOOKUP(U$1,test!$A$3:$F$32,5,FALSE) - VLOOKUP($B65,test!$A$3:$G$32,6,FALSE) &gt;= (test!$B$35)/1440),1,0)</f>
        <v>1</v>
      </c>
      <c r="V65" s="3">
        <f>IF(AND(VLOOKUP(V$1,test!$A$3:$F$32,5,FALSE) - VLOOKUP($B65,test!$A$3:$G$32,6,FALSE) &gt;= (test!$B$35)/1440),1,0)</f>
        <v>1</v>
      </c>
      <c r="W65" s="3">
        <f>IF(AND(VLOOKUP(W$1,test!$A$3:$F$32,5,FALSE) - VLOOKUP($B65,test!$A$3:$G$32,6,FALSE) &gt;= (test!$B$35)/1440),1,0)</f>
        <v>1</v>
      </c>
      <c r="X65" s="3">
        <f>IF(AND(VLOOKUP(X$1,test!$A$3:$F$32,5,FALSE) - VLOOKUP($B65,test!$A$3:$G$32,6,FALSE) &gt;= (test!$B$35)/1440),1,0)</f>
        <v>1</v>
      </c>
      <c r="Y65" s="3">
        <f>IF(AND(VLOOKUP(Y$1,test!$A$3:$F$32,5,FALSE) - VLOOKUP($B65,test!$A$3:$G$32,6,FALSE) &gt;= (test!$B$35)/1440),1,0)</f>
        <v>1</v>
      </c>
      <c r="Z65" s="3">
        <f>IF(AND(VLOOKUP(Z$1,test!$A$3:$F$32,5,FALSE) - VLOOKUP($B65,test!$A$3:$G$32,6,FALSE) &gt;= (test!$B$35)/1440),1,0)</f>
        <v>0</v>
      </c>
      <c r="AA65" s="3">
        <f>IF(AND(VLOOKUP(AA$1,test!$A$3:$F$32,5,FALSE) - VLOOKUP($B65,test!$A$3:$G$32,6,FALSE) &gt;= (test!$B$35)/1440),1,0)</f>
        <v>0</v>
      </c>
      <c r="AB65" s="3">
        <f>IF(AND(VLOOKUP(AB$1,test!$A$3:$F$32,5,FALSE) - VLOOKUP($B65,test!$A$3:$G$32,6,FALSE) &gt;= (test!$B$35)/1440),1,0)</f>
        <v>1</v>
      </c>
      <c r="AC65" s="3">
        <f>IF(AND(VLOOKUP(AC$1,test!$A$3:$F$32,5,FALSE) - VLOOKUP($B65,test!$A$3:$G$32,6,FALSE) &gt;= (test!$B$35)/1440),1,0)</f>
        <v>1</v>
      </c>
      <c r="AD65" s="3">
        <f>IF(AND(VLOOKUP(AD$1,test!$A$3:$F$32,5,FALSE) - VLOOKUP($B65,test!$A$3:$G$32,6,FALSE) &gt;= (test!$B$35)/1440),1,0)</f>
        <v>1</v>
      </c>
      <c r="AE65" s="3">
        <f>IF(AND(VLOOKUP(AE$1,test!$A$3:$F$32,5,FALSE) - VLOOKUP($B65,test!$A$3:$G$32,6,FALSE) &gt;= (test!$B$35)/1440),1,0)</f>
        <v>0</v>
      </c>
      <c r="AF65" s="3">
        <f>IF(AND(VLOOKUP(AF$1,test!$A$3:$F$32,5,FALSE) - VLOOKUP($B65,test!$A$3:$G$32,6,FALSE) &gt;= (test!$B$35)/1440),1,0)</f>
        <v>1</v>
      </c>
      <c r="AG65" s="3">
        <f>IF(AND(VLOOKUP(AG$1,test!$A$3:$F$32,5,FALSE) - VLOOKUP($B65,test!$A$3:$G$32,6,FALSE) &gt;= (test!$B$35)/1440),1,0)</f>
        <v>1</v>
      </c>
    </row>
    <row r="66" spans="1:33" x14ac:dyDescent="0.25">
      <c r="A66" t="s">
        <v>60</v>
      </c>
      <c r="B66" t="s">
        <v>9</v>
      </c>
      <c r="C66">
        <v>0</v>
      </c>
      <c r="D66" s="3">
        <f>IF(AND(VLOOKUP(D$1,test!$A$3:$F$32,5,FALSE) - VLOOKUP($B66,test!$A$3:$G$32,6,FALSE) &gt;= (test!$B$35)/1440),1,0)</f>
        <v>0</v>
      </c>
      <c r="E66" s="3">
        <f>IF(AND(VLOOKUP(E$1,test!$A$3:$F$32,5,FALSE) - VLOOKUP($B66,test!$A$3:$G$32,6,FALSE) &gt;= (test!$B$35)/1440),1,0)</f>
        <v>0</v>
      </c>
      <c r="F66" s="3">
        <f>IF(AND(VLOOKUP(F$1,test!$A$3:$F$32,5,FALSE) - VLOOKUP($B66,test!$A$3:$G$32,6,FALSE) &gt;= (test!$B$35)/1440),1,0)</f>
        <v>0</v>
      </c>
      <c r="G66" s="3">
        <f>IF(AND(VLOOKUP(G$1,test!$A$3:$F$32,5,FALSE) - VLOOKUP($B66,test!$A$3:$G$32,6,FALSE) &gt;= (test!$B$35)/1440),1,0)</f>
        <v>0</v>
      </c>
      <c r="H66" s="3">
        <f>IF(AND(VLOOKUP(H$1,test!$A$3:$F$32,5,FALSE) - VLOOKUP($B66,test!$A$3:$G$32,6,FALSE) &gt;= (test!$B$35)/1440),1,0)</f>
        <v>1</v>
      </c>
      <c r="I66" s="3">
        <f>IF(AND(VLOOKUP(I$1,test!$A$3:$F$32,5,FALSE) - VLOOKUP($B66,test!$A$3:$G$32,6,FALSE) &gt;= (test!$B$35)/1440),1,0)</f>
        <v>1</v>
      </c>
      <c r="J66" s="3">
        <f>IF(AND(VLOOKUP(J$1,test!$A$3:$F$32,5,FALSE) - VLOOKUP($B66,test!$A$3:$G$32,6,FALSE) &gt;= (test!$B$35)/1440),1,0)</f>
        <v>1</v>
      </c>
      <c r="K66" s="3">
        <f>IF(AND(VLOOKUP(K$1,test!$A$3:$F$32,5,FALSE) - VLOOKUP($B66,test!$A$3:$G$32,6,FALSE) &gt;= (test!$B$35)/1440),1,0)</f>
        <v>1</v>
      </c>
      <c r="L66" s="3">
        <f>IF(AND(VLOOKUP(L$1,test!$A$3:$F$32,5,FALSE) - VLOOKUP($B66,test!$A$3:$G$32,6,FALSE) &gt;= (test!$B$35)/1440),1,0)</f>
        <v>0</v>
      </c>
      <c r="M66" s="3">
        <f>IF(AND(VLOOKUP(M$1,test!$A$3:$F$32,5,FALSE) - VLOOKUP($B66,test!$A$3:$G$32,6,FALSE) &gt;= (test!$B$35)/1440),1,0)</f>
        <v>0</v>
      </c>
      <c r="N66" s="3">
        <f>IF(AND(VLOOKUP(N$1,test!$A$3:$F$32,5,FALSE) - VLOOKUP($B66,test!$A$3:$G$32,6,FALSE) &gt;= (test!$B$35)/1440),1,0)</f>
        <v>0</v>
      </c>
      <c r="O66" s="3">
        <f>IF(AND(VLOOKUP(O$1,test!$A$3:$F$32,5,FALSE) - VLOOKUP($B66,test!$A$3:$G$32,6,FALSE) &gt;= (test!$B$35)/1440),1,0)</f>
        <v>1</v>
      </c>
      <c r="P66" s="3">
        <f>IF(AND(VLOOKUP(P$1,test!$A$3:$F$32,5,FALSE) - VLOOKUP($B66,test!$A$3:$G$32,6,FALSE) &gt;= (test!$B$35)/1440),1,0)</f>
        <v>1</v>
      </c>
      <c r="Q66" s="3">
        <f>IF(AND(VLOOKUP(Q$1,test!$A$3:$F$32,5,FALSE) - VLOOKUP($B66,test!$A$3:$G$32,6,FALSE) &gt;= (test!$B$35)/1440),1,0)</f>
        <v>0</v>
      </c>
      <c r="R66" s="3">
        <f>IF(AND(VLOOKUP(R$1,test!$A$3:$F$32,5,FALSE) - VLOOKUP($B66,test!$A$3:$G$32,6,FALSE) &gt;= (test!$B$35)/1440),1,0)</f>
        <v>0</v>
      </c>
      <c r="S66" s="3">
        <f>IF(AND(VLOOKUP(S$1,test!$A$3:$F$32,5,FALSE) - VLOOKUP($B66,test!$A$3:$G$32,6,FALSE) &gt;= (test!$B$35)/1440),1,0)</f>
        <v>0</v>
      </c>
      <c r="T66" s="3">
        <f>IF(AND(VLOOKUP(T$1,test!$A$3:$F$32,5,FALSE) - VLOOKUP($B66,test!$A$3:$G$32,6,FALSE) &gt;= (test!$B$35)/1440),1,0)</f>
        <v>0</v>
      </c>
      <c r="U66" s="3">
        <f>IF(AND(VLOOKUP(U$1,test!$A$3:$F$32,5,FALSE) - VLOOKUP($B66,test!$A$3:$G$32,6,FALSE) &gt;= (test!$B$35)/1440),1,0)</f>
        <v>0</v>
      </c>
      <c r="V66" s="3">
        <f>IF(AND(VLOOKUP(V$1,test!$A$3:$F$32,5,FALSE) - VLOOKUP($B66,test!$A$3:$G$32,6,FALSE) &gt;= (test!$B$35)/1440),1,0)</f>
        <v>0</v>
      </c>
      <c r="W66" s="3">
        <f>IF(AND(VLOOKUP(W$1,test!$A$3:$F$32,5,FALSE) - VLOOKUP($B66,test!$A$3:$G$32,6,FALSE) &gt;= (test!$B$35)/1440),1,0)</f>
        <v>1</v>
      </c>
      <c r="X66" s="3">
        <f>IF(AND(VLOOKUP(X$1,test!$A$3:$F$32,5,FALSE) - VLOOKUP($B66,test!$A$3:$G$32,6,FALSE) &gt;= (test!$B$35)/1440),1,0)</f>
        <v>1</v>
      </c>
      <c r="Y66" s="3">
        <f>IF(AND(VLOOKUP(Y$1,test!$A$3:$F$32,5,FALSE) - VLOOKUP($B66,test!$A$3:$G$32,6,FALSE) &gt;= (test!$B$35)/1440),1,0)</f>
        <v>1</v>
      </c>
      <c r="Z66" s="3">
        <f>IF(AND(VLOOKUP(Z$1,test!$A$3:$F$32,5,FALSE) - VLOOKUP($B66,test!$A$3:$G$32,6,FALSE) &gt;= (test!$B$35)/1440),1,0)</f>
        <v>0</v>
      </c>
      <c r="AA66" s="3">
        <f>IF(AND(VLOOKUP(AA$1,test!$A$3:$F$32,5,FALSE) - VLOOKUP($B66,test!$A$3:$G$32,6,FALSE) &gt;= (test!$B$35)/1440),1,0)</f>
        <v>0</v>
      </c>
      <c r="AB66" s="3">
        <f>IF(AND(VLOOKUP(AB$1,test!$A$3:$F$32,5,FALSE) - VLOOKUP($B66,test!$A$3:$G$32,6,FALSE) &gt;= (test!$B$35)/1440),1,0)</f>
        <v>0</v>
      </c>
      <c r="AC66" s="3">
        <f>IF(AND(VLOOKUP(AC$1,test!$A$3:$F$32,5,FALSE) - VLOOKUP($B66,test!$A$3:$G$32,6,FALSE) &gt;= (test!$B$35)/1440),1,0)</f>
        <v>0</v>
      </c>
      <c r="AD66" s="3">
        <f>IF(AND(VLOOKUP(AD$1,test!$A$3:$F$32,5,FALSE) - VLOOKUP($B66,test!$A$3:$G$32,6,FALSE) &gt;= (test!$B$35)/1440),1,0)</f>
        <v>1</v>
      </c>
      <c r="AE66" s="3">
        <f>IF(AND(VLOOKUP(AE$1,test!$A$3:$F$32,5,FALSE) - VLOOKUP($B66,test!$A$3:$G$32,6,FALSE) &gt;= (test!$B$35)/1440),1,0)</f>
        <v>0</v>
      </c>
      <c r="AF66" s="3">
        <f>IF(AND(VLOOKUP(AF$1,test!$A$3:$F$32,5,FALSE) - VLOOKUP($B66,test!$A$3:$G$32,6,FALSE) &gt;= (test!$B$35)/1440),1,0)</f>
        <v>0</v>
      </c>
      <c r="AG66" s="3">
        <f>IF(AND(VLOOKUP(AG$1,test!$A$3:$F$32,5,FALSE) - VLOOKUP($B66,test!$A$3:$G$32,6,FALSE) &gt;= (test!$B$35)/1440),1,0)</f>
        <v>0</v>
      </c>
    </row>
    <row r="67" spans="1:33" x14ac:dyDescent="0.25">
      <c r="A67" t="s">
        <v>60</v>
      </c>
      <c r="B67" t="s">
        <v>10</v>
      </c>
      <c r="C67">
        <v>0</v>
      </c>
      <c r="D67" s="3">
        <f>IF(AND(VLOOKUP(D$1,test!$A$3:$F$32,5,FALSE) - VLOOKUP($B67,test!$A$3:$G$32,6,FALSE) &gt;= (test!$B$35)/1440),1,0)</f>
        <v>0</v>
      </c>
      <c r="E67" s="3">
        <f>IF(AND(VLOOKUP(E$1,test!$A$3:$F$32,5,FALSE) - VLOOKUP($B67,test!$A$3:$G$32,6,FALSE) &gt;= (test!$B$35)/1440),1,0)</f>
        <v>0</v>
      </c>
      <c r="F67" s="3">
        <f>IF(AND(VLOOKUP(F$1,test!$A$3:$F$32,5,FALSE) - VLOOKUP($B67,test!$A$3:$G$32,6,FALSE) &gt;= (test!$B$35)/1440),1,0)</f>
        <v>0</v>
      </c>
      <c r="G67" s="3">
        <f>IF(AND(VLOOKUP(G$1,test!$A$3:$F$32,5,FALSE) - VLOOKUP($B67,test!$A$3:$G$32,6,FALSE) &gt;= (test!$B$35)/1440),1,0)</f>
        <v>0</v>
      </c>
      <c r="H67" s="3">
        <f>IF(AND(VLOOKUP(H$1,test!$A$3:$F$32,5,FALSE) - VLOOKUP($B67,test!$A$3:$G$32,6,FALSE) &gt;= (test!$B$35)/1440),1,0)</f>
        <v>0</v>
      </c>
      <c r="I67" s="3">
        <f>IF(AND(VLOOKUP(I$1,test!$A$3:$F$32,5,FALSE) - VLOOKUP($B67,test!$A$3:$G$32,6,FALSE) &gt;= (test!$B$35)/1440),1,0)</f>
        <v>1</v>
      </c>
      <c r="J67" s="3">
        <f>IF(AND(VLOOKUP(J$1,test!$A$3:$F$32,5,FALSE) - VLOOKUP($B67,test!$A$3:$G$32,6,FALSE) &gt;= (test!$B$35)/1440),1,0)</f>
        <v>1</v>
      </c>
      <c r="K67" s="3">
        <f>IF(AND(VLOOKUP(K$1,test!$A$3:$F$32,5,FALSE) - VLOOKUP($B67,test!$A$3:$G$32,6,FALSE) &gt;= (test!$B$35)/1440),1,0)</f>
        <v>1</v>
      </c>
      <c r="L67" s="3">
        <f>IF(AND(VLOOKUP(L$1,test!$A$3:$F$32,5,FALSE) - VLOOKUP($B67,test!$A$3:$G$32,6,FALSE) &gt;= (test!$B$35)/1440),1,0)</f>
        <v>0</v>
      </c>
      <c r="M67" s="3">
        <f>IF(AND(VLOOKUP(M$1,test!$A$3:$F$32,5,FALSE) - VLOOKUP($B67,test!$A$3:$G$32,6,FALSE) &gt;= (test!$B$35)/1440),1,0)</f>
        <v>0</v>
      </c>
      <c r="N67" s="3">
        <f>IF(AND(VLOOKUP(N$1,test!$A$3:$F$32,5,FALSE) - VLOOKUP($B67,test!$A$3:$G$32,6,FALSE) &gt;= (test!$B$35)/1440),1,0)</f>
        <v>0</v>
      </c>
      <c r="O67" s="3">
        <f>IF(AND(VLOOKUP(O$1,test!$A$3:$F$32,5,FALSE) - VLOOKUP($B67,test!$A$3:$G$32,6,FALSE) &gt;= (test!$B$35)/1440),1,0)</f>
        <v>1</v>
      </c>
      <c r="P67" s="3">
        <f>IF(AND(VLOOKUP(P$1,test!$A$3:$F$32,5,FALSE) - VLOOKUP($B67,test!$A$3:$G$32,6,FALSE) &gt;= (test!$B$35)/1440),1,0)</f>
        <v>1</v>
      </c>
      <c r="Q67" s="3">
        <f>IF(AND(VLOOKUP(Q$1,test!$A$3:$F$32,5,FALSE) - VLOOKUP($B67,test!$A$3:$G$32,6,FALSE) &gt;= (test!$B$35)/1440),1,0)</f>
        <v>0</v>
      </c>
      <c r="R67" s="3">
        <f>IF(AND(VLOOKUP(R$1,test!$A$3:$F$32,5,FALSE) - VLOOKUP($B67,test!$A$3:$G$32,6,FALSE) &gt;= (test!$B$35)/1440),1,0)</f>
        <v>0</v>
      </c>
      <c r="S67" s="3">
        <f>IF(AND(VLOOKUP(S$1,test!$A$3:$F$32,5,FALSE) - VLOOKUP($B67,test!$A$3:$G$32,6,FALSE) &gt;= (test!$B$35)/1440),1,0)</f>
        <v>0</v>
      </c>
      <c r="T67" s="3">
        <f>IF(AND(VLOOKUP(T$1,test!$A$3:$F$32,5,FALSE) - VLOOKUP($B67,test!$A$3:$G$32,6,FALSE) &gt;= (test!$B$35)/1440),1,0)</f>
        <v>0</v>
      </c>
      <c r="U67" s="3">
        <f>IF(AND(VLOOKUP(U$1,test!$A$3:$F$32,5,FALSE) - VLOOKUP($B67,test!$A$3:$G$32,6,FALSE) &gt;= (test!$B$35)/1440),1,0)</f>
        <v>0</v>
      </c>
      <c r="V67" s="3">
        <f>IF(AND(VLOOKUP(V$1,test!$A$3:$F$32,5,FALSE) - VLOOKUP($B67,test!$A$3:$G$32,6,FALSE) &gt;= (test!$B$35)/1440),1,0)</f>
        <v>0</v>
      </c>
      <c r="W67" s="3">
        <f>IF(AND(VLOOKUP(W$1,test!$A$3:$F$32,5,FALSE) - VLOOKUP($B67,test!$A$3:$G$32,6,FALSE) &gt;= (test!$B$35)/1440),1,0)</f>
        <v>0</v>
      </c>
      <c r="X67" s="3">
        <f>IF(AND(VLOOKUP(X$1,test!$A$3:$F$32,5,FALSE) - VLOOKUP($B67,test!$A$3:$G$32,6,FALSE) &gt;= (test!$B$35)/1440),1,0)</f>
        <v>1</v>
      </c>
      <c r="Y67" s="3">
        <f>IF(AND(VLOOKUP(Y$1,test!$A$3:$F$32,5,FALSE) - VLOOKUP($B67,test!$A$3:$G$32,6,FALSE) &gt;= (test!$B$35)/1440),1,0)</f>
        <v>1</v>
      </c>
      <c r="Z67" s="3">
        <f>IF(AND(VLOOKUP(Z$1,test!$A$3:$F$32,5,FALSE) - VLOOKUP($B67,test!$A$3:$G$32,6,FALSE) &gt;= (test!$B$35)/1440),1,0)</f>
        <v>0</v>
      </c>
      <c r="AA67" s="3">
        <f>IF(AND(VLOOKUP(AA$1,test!$A$3:$F$32,5,FALSE) - VLOOKUP($B67,test!$A$3:$G$32,6,FALSE) &gt;= (test!$B$35)/1440),1,0)</f>
        <v>0</v>
      </c>
      <c r="AB67" s="3">
        <f>IF(AND(VLOOKUP(AB$1,test!$A$3:$F$32,5,FALSE) - VLOOKUP($B67,test!$A$3:$G$32,6,FALSE) &gt;= (test!$B$35)/1440),1,0)</f>
        <v>0</v>
      </c>
      <c r="AC67" s="3">
        <f>IF(AND(VLOOKUP(AC$1,test!$A$3:$F$32,5,FALSE) - VLOOKUP($B67,test!$A$3:$G$32,6,FALSE) &gt;= (test!$B$35)/1440),1,0)</f>
        <v>0</v>
      </c>
      <c r="AD67" s="3">
        <f>IF(AND(VLOOKUP(AD$1,test!$A$3:$F$32,5,FALSE) - VLOOKUP($B67,test!$A$3:$G$32,6,FALSE) &gt;= (test!$B$35)/1440),1,0)</f>
        <v>1</v>
      </c>
      <c r="AE67" s="3">
        <f>IF(AND(VLOOKUP(AE$1,test!$A$3:$F$32,5,FALSE) - VLOOKUP($B67,test!$A$3:$G$32,6,FALSE) &gt;= (test!$B$35)/1440),1,0)</f>
        <v>0</v>
      </c>
      <c r="AF67" s="3">
        <f>IF(AND(VLOOKUP(AF$1,test!$A$3:$F$32,5,FALSE) - VLOOKUP($B67,test!$A$3:$G$32,6,FALSE) &gt;= (test!$B$35)/1440),1,0)</f>
        <v>0</v>
      </c>
      <c r="AG67" s="3">
        <f>IF(AND(VLOOKUP(AG$1,test!$A$3:$F$32,5,FALSE) - VLOOKUP($B67,test!$A$3:$G$32,6,FALSE) &gt;= (test!$B$35)/1440),1,0)</f>
        <v>0</v>
      </c>
    </row>
    <row r="68" spans="1:33" x14ac:dyDescent="0.25">
      <c r="A68" t="s">
        <v>60</v>
      </c>
      <c r="B68" t="s">
        <v>11</v>
      </c>
      <c r="C68">
        <v>0</v>
      </c>
      <c r="D68" s="3">
        <f>IF(AND(VLOOKUP(D$1,test!$A$3:$F$32,5,FALSE) - VLOOKUP($B68,test!$A$3:$G$32,6,FALSE) &gt;= (test!$B$35)/1440),1,0)</f>
        <v>0</v>
      </c>
      <c r="E68" s="3">
        <f>IF(AND(VLOOKUP(E$1,test!$A$3:$F$32,5,FALSE) - VLOOKUP($B68,test!$A$3:$G$32,6,FALSE) &gt;= (test!$B$35)/1440),1,0)</f>
        <v>0</v>
      </c>
      <c r="F68" s="3">
        <f>IF(AND(VLOOKUP(F$1,test!$A$3:$F$32,5,FALSE) - VLOOKUP($B68,test!$A$3:$G$32,6,FALSE) &gt;= (test!$B$35)/1440),1,0)</f>
        <v>0</v>
      </c>
      <c r="G68" s="3">
        <f>IF(AND(VLOOKUP(G$1,test!$A$3:$F$32,5,FALSE) - VLOOKUP($B68,test!$A$3:$G$32,6,FALSE) &gt;= (test!$B$35)/1440),1,0)</f>
        <v>0</v>
      </c>
      <c r="H68" s="3">
        <f>IF(AND(VLOOKUP(H$1,test!$A$3:$F$32,5,FALSE) - VLOOKUP($B68,test!$A$3:$G$32,6,FALSE) &gt;= (test!$B$35)/1440),1,0)</f>
        <v>0</v>
      </c>
      <c r="I68" s="3">
        <f>IF(AND(VLOOKUP(I$1,test!$A$3:$F$32,5,FALSE) - VLOOKUP($B68,test!$A$3:$G$32,6,FALSE) &gt;= (test!$B$35)/1440),1,0)</f>
        <v>0</v>
      </c>
      <c r="J68" s="3">
        <f>IF(AND(VLOOKUP(J$1,test!$A$3:$F$32,5,FALSE) - VLOOKUP($B68,test!$A$3:$G$32,6,FALSE) &gt;= (test!$B$35)/1440),1,0)</f>
        <v>0</v>
      </c>
      <c r="K68" s="3">
        <f>IF(AND(VLOOKUP(K$1,test!$A$3:$F$32,5,FALSE) - VLOOKUP($B68,test!$A$3:$G$32,6,FALSE) &gt;= (test!$B$35)/1440),1,0)</f>
        <v>1</v>
      </c>
      <c r="L68" s="3">
        <f>IF(AND(VLOOKUP(L$1,test!$A$3:$F$32,5,FALSE) - VLOOKUP($B68,test!$A$3:$G$32,6,FALSE) &gt;= (test!$B$35)/1440),1,0)</f>
        <v>0</v>
      </c>
      <c r="M68" s="3">
        <f>IF(AND(VLOOKUP(M$1,test!$A$3:$F$32,5,FALSE) - VLOOKUP($B68,test!$A$3:$G$32,6,FALSE) &gt;= (test!$B$35)/1440),1,0)</f>
        <v>0</v>
      </c>
      <c r="N68" s="3">
        <f>IF(AND(VLOOKUP(N$1,test!$A$3:$F$32,5,FALSE) - VLOOKUP($B68,test!$A$3:$G$32,6,FALSE) &gt;= (test!$B$35)/1440),1,0)</f>
        <v>0</v>
      </c>
      <c r="O68" s="3">
        <f>IF(AND(VLOOKUP(O$1,test!$A$3:$F$32,5,FALSE) - VLOOKUP($B68,test!$A$3:$G$32,6,FALSE) &gt;= (test!$B$35)/1440),1,0)</f>
        <v>1</v>
      </c>
      <c r="P68" s="3">
        <f>IF(AND(VLOOKUP(P$1,test!$A$3:$F$32,5,FALSE) - VLOOKUP($B68,test!$A$3:$G$32,6,FALSE) &gt;= (test!$B$35)/1440),1,0)</f>
        <v>1</v>
      </c>
      <c r="Q68" s="3">
        <f>IF(AND(VLOOKUP(Q$1,test!$A$3:$F$32,5,FALSE) - VLOOKUP($B68,test!$A$3:$G$32,6,FALSE) &gt;= (test!$B$35)/1440),1,0)</f>
        <v>0</v>
      </c>
      <c r="R68" s="3">
        <f>IF(AND(VLOOKUP(R$1,test!$A$3:$F$32,5,FALSE) - VLOOKUP($B68,test!$A$3:$G$32,6,FALSE) &gt;= (test!$B$35)/1440),1,0)</f>
        <v>0</v>
      </c>
      <c r="S68" s="3">
        <f>IF(AND(VLOOKUP(S$1,test!$A$3:$F$32,5,FALSE) - VLOOKUP($B68,test!$A$3:$G$32,6,FALSE) &gt;= (test!$B$35)/1440),1,0)</f>
        <v>0</v>
      </c>
      <c r="T68" s="3">
        <f>IF(AND(VLOOKUP(T$1,test!$A$3:$F$32,5,FALSE) - VLOOKUP($B68,test!$A$3:$G$32,6,FALSE) &gt;= (test!$B$35)/1440),1,0)</f>
        <v>0</v>
      </c>
      <c r="U68" s="3">
        <f>IF(AND(VLOOKUP(U$1,test!$A$3:$F$32,5,FALSE) - VLOOKUP($B68,test!$A$3:$G$32,6,FALSE) &gt;= (test!$B$35)/1440),1,0)</f>
        <v>0</v>
      </c>
      <c r="V68" s="3">
        <f>IF(AND(VLOOKUP(V$1,test!$A$3:$F$32,5,FALSE) - VLOOKUP($B68,test!$A$3:$G$32,6,FALSE) &gt;= (test!$B$35)/1440),1,0)</f>
        <v>0</v>
      </c>
      <c r="W68" s="3">
        <f>IF(AND(VLOOKUP(W$1,test!$A$3:$F$32,5,FALSE) - VLOOKUP($B68,test!$A$3:$G$32,6,FALSE) &gt;= (test!$B$35)/1440),1,0)</f>
        <v>0</v>
      </c>
      <c r="X68" s="3">
        <f>IF(AND(VLOOKUP(X$1,test!$A$3:$F$32,5,FALSE) - VLOOKUP($B68,test!$A$3:$G$32,6,FALSE) &gt;= (test!$B$35)/1440),1,0)</f>
        <v>0</v>
      </c>
      <c r="Y68" s="3">
        <f>IF(AND(VLOOKUP(Y$1,test!$A$3:$F$32,5,FALSE) - VLOOKUP($B68,test!$A$3:$G$32,6,FALSE) &gt;= (test!$B$35)/1440),1,0)</f>
        <v>1</v>
      </c>
      <c r="Z68" s="3">
        <f>IF(AND(VLOOKUP(Z$1,test!$A$3:$F$32,5,FALSE) - VLOOKUP($B68,test!$A$3:$G$32,6,FALSE) &gt;= (test!$B$35)/1440),1,0)</f>
        <v>0</v>
      </c>
      <c r="AA68" s="3">
        <f>IF(AND(VLOOKUP(AA$1,test!$A$3:$F$32,5,FALSE) - VLOOKUP($B68,test!$A$3:$G$32,6,FALSE) &gt;= (test!$B$35)/1440),1,0)</f>
        <v>0</v>
      </c>
      <c r="AB68" s="3">
        <f>IF(AND(VLOOKUP(AB$1,test!$A$3:$F$32,5,FALSE) - VLOOKUP($B68,test!$A$3:$G$32,6,FALSE) &gt;= (test!$B$35)/1440),1,0)</f>
        <v>0</v>
      </c>
      <c r="AC68" s="3">
        <f>IF(AND(VLOOKUP(AC$1,test!$A$3:$F$32,5,FALSE) - VLOOKUP($B68,test!$A$3:$G$32,6,FALSE) &gt;= (test!$B$35)/1440),1,0)</f>
        <v>0</v>
      </c>
      <c r="AD68" s="3">
        <f>IF(AND(VLOOKUP(AD$1,test!$A$3:$F$32,5,FALSE) - VLOOKUP($B68,test!$A$3:$G$32,6,FALSE) &gt;= (test!$B$35)/1440),1,0)</f>
        <v>0</v>
      </c>
      <c r="AE68" s="3">
        <f>IF(AND(VLOOKUP(AE$1,test!$A$3:$F$32,5,FALSE) - VLOOKUP($B68,test!$A$3:$G$32,6,FALSE) &gt;= (test!$B$35)/1440),1,0)</f>
        <v>0</v>
      </c>
      <c r="AF68" s="3">
        <f>IF(AND(VLOOKUP(AF$1,test!$A$3:$F$32,5,FALSE) - VLOOKUP($B68,test!$A$3:$G$32,6,FALSE) &gt;= (test!$B$35)/1440),1,0)</f>
        <v>0</v>
      </c>
      <c r="AG68" s="3">
        <f>IF(AND(VLOOKUP(AG$1,test!$A$3:$F$32,5,FALSE) - VLOOKUP($B68,test!$A$3:$G$32,6,FALSE) &gt;= (test!$B$35)/1440),1,0)</f>
        <v>0</v>
      </c>
    </row>
    <row r="69" spans="1:33" x14ac:dyDescent="0.25">
      <c r="A69" t="s">
        <v>60</v>
      </c>
      <c r="B69" t="s">
        <v>12</v>
      </c>
      <c r="C69">
        <v>0</v>
      </c>
      <c r="D69" s="3">
        <f>IF(AND(VLOOKUP(D$1,test!$A$3:$F$32,5,FALSE) - VLOOKUP($B69,test!$A$3:$G$32,6,FALSE) &gt;= (test!$B$35)/1440),1,0)</f>
        <v>0</v>
      </c>
      <c r="E69" s="3">
        <f>IF(AND(VLOOKUP(E$1,test!$A$3:$F$32,5,FALSE) - VLOOKUP($B69,test!$A$3:$G$32,6,FALSE) &gt;= (test!$B$35)/1440),1,0)</f>
        <v>0</v>
      </c>
      <c r="F69" s="3">
        <f>IF(AND(VLOOKUP(F$1,test!$A$3:$F$32,5,FALSE) - VLOOKUP($B69,test!$A$3:$G$32,6,FALSE) &gt;= (test!$B$35)/1440),1,0)</f>
        <v>0</v>
      </c>
      <c r="G69" s="3">
        <f>IF(AND(VLOOKUP(G$1,test!$A$3:$F$32,5,FALSE) - VLOOKUP($B69,test!$A$3:$G$32,6,FALSE) &gt;= (test!$B$35)/1440),1,0)</f>
        <v>0</v>
      </c>
      <c r="H69" s="3">
        <f>IF(AND(VLOOKUP(H$1,test!$A$3:$F$32,5,FALSE) - VLOOKUP($B69,test!$A$3:$G$32,6,FALSE) &gt;= (test!$B$35)/1440),1,0)</f>
        <v>0</v>
      </c>
      <c r="I69" s="3">
        <f>IF(AND(VLOOKUP(I$1,test!$A$3:$F$32,5,FALSE) - VLOOKUP($B69,test!$A$3:$G$32,6,FALSE) &gt;= (test!$B$35)/1440),1,0)</f>
        <v>0</v>
      </c>
      <c r="J69" s="3">
        <f>IF(AND(VLOOKUP(J$1,test!$A$3:$F$32,5,FALSE) - VLOOKUP($B69,test!$A$3:$G$32,6,FALSE) &gt;= (test!$B$35)/1440),1,0)</f>
        <v>0</v>
      </c>
      <c r="K69" s="3">
        <f>IF(AND(VLOOKUP(K$1,test!$A$3:$F$32,5,FALSE) - VLOOKUP($B69,test!$A$3:$G$32,6,FALSE) &gt;= (test!$B$35)/1440),1,0)</f>
        <v>1</v>
      </c>
      <c r="L69" s="3">
        <f>IF(AND(VLOOKUP(L$1,test!$A$3:$F$32,5,FALSE) - VLOOKUP($B69,test!$A$3:$G$32,6,FALSE) &gt;= (test!$B$35)/1440),1,0)</f>
        <v>0</v>
      </c>
      <c r="M69" s="3">
        <f>IF(AND(VLOOKUP(M$1,test!$A$3:$F$32,5,FALSE) - VLOOKUP($B69,test!$A$3:$G$32,6,FALSE) &gt;= (test!$B$35)/1440),1,0)</f>
        <v>0</v>
      </c>
      <c r="N69" s="3">
        <f>IF(AND(VLOOKUP(N$1,test!$A$3:$F$32,5,FALSE) - VLOOKUP($B69,test!$A$3:$G$32,6,FALSE) &gt;= (test!$B$35)/1440),1,0)</f>
        <v>0</v>
      </c>
      <c r="O69" s="3">
        <f>IF(AND(VLOOKUP(O$1,test!$A$3:$F$32,5,FALSE) - VLOOKUP($B69,test!$A$3:$G$32,6,FALSE) &gt;= (test!$B$35)/1440),1,0)</f>
        <v>0</v>
      </c>
      <c r="P69" s="3">
        <f>IF(AND(VLOOKUP(P$1,test!$A$3:$F$32,5,FALSE) - VLOOKUP($B69,test!$A$3:$G$32,6,FALSE) &gt;= (test!$B$35)/1440),1,0)</f>
        <v>1</v>
      </c>
      <c r="Q69" s="3">
        <f>IF(AND(VLOOKUP(Q$1,test!$A$3:$F$32,5,FALSE) - VLOOKUP($B69,test!$A$3:$G$32,6,FALSE) &gt;= (test!$B$35)/1440),1,0)</f>
        <v>0</v>
      </c>
      <c r="R69" s="3">
        <f>IF(AND(VLOOKUP(R$1,test!$A$3:$F$32,5,FALSE) - VLOOKUP($B69,test!$A$3:$G$32,6,FALSE) &gt;= (test!$B$35)/1440),1,0)</f>
        <v>0</v>
      </c>
      <c r="S69" s="3">
        <f>IF(AND(VLOOKUP(S$1,test!$A$3:$F$32,5,FALSE) - VLOOKUP($B69,test!$A$3:$G$32,6,FALSE) &gt;= (test!$B$35)/1440),1,0)</f>
        <v>0</v>
      </c>
      <c r="T69" s="3">
        <f>IF(AND(VLOOKUP(T$1,test!$A$3:$F$32,5,FALSE) - VLOOKUP($B69,test!$A$3:$G$32,6,FALSE) &gt;= (test!$B$35)/1440),1,0)</f>
        <v>0</v>
      </c>
      <c r="U69" s="3">
        <f>IF(AND(VLOOKUP(U$1,test!$A$3:$F$32,5,FALSE) - VLOOKUP($B69,test!$A$3:$G$32,6,FALSE) &gt;= (test!$B$35)/1440),1,0)</f>
        <v>0</v>
      </c>
      <c r="V69" s="3">
        <f>IF(AND(VLOOKUP(V$1,test!$A$3:$F$32,5,FALSE) - VLOOKUP($B69,test!$A$3:$G$32,6,FALSE) &gt;= (test!$B$35)/1440),1,0)</f>
        <v>0</v>
      </c>
      <c r="W69" s="3">
        <f>IF(AND(VLOOKUP(W$1,test!$A$3:$F$32,5,FALSE) - VLOOKUP($B69,test!$A$3:$G$32,6,FALSE) &gt;= (test!$B$35)/1440),1,0)</f>
        <v>0</v>
      </c>
      <c r="X69" s="3">
        <f>IF(AND(VLOOKUP(X$1,test!$A$3:$F$32,5,FALSE) - VLOOKUP($B69,test!$A$3:$G$32,6,FALSE) &gt;= (test!$B$35)/1440),1,0)</f>
        <v>0</v>
      </c>
      <c r="Y69" s="3">
        <f>IF(AND(VLOOKUP(Y$1,test!$A$3:$F$32,5,FALSE) - VLOOKUP($B69,test!$A$3:$G$32,6,FALSE) &gt;= (test!$B$35)/1440),1,0)</f>
        <v>0</v>
      </c>
      <c r="Z69" s="3">
        <f>IF(AND(VLOOKUP(Z$1,test!$A$3:$F$32,5,FALSE) - VLOOKUP($B69,test!$A$3:$G$32,6,FALSE) &gt;= (test!$B$35)/1440),1,0)</f>
        <v>0</v>
      </c>
      <c r="AA69" s="3">
        <f>IF(AND(VLOOKUP(AA$1,test!$A$3:$F$32,5,FALSE) - VLOOKUP($B69,test!$A$3:$G$32,6,FALSE) &gt;= (test!$B$35)/1440),1,0)</f>
        <v>0</v>
      </c>
      <c r="AB69" s="3">
        <f>IF(AND(VLOOKUP(AB$1,test!$A$3:$F$32,5,FALSE) - VLOOKUP($B69,test!$A$3:$G$32,6,FALSE) &gt;= (test!$B$35)/1440),1,0)</f>
        <v>0</v>
      </c>
      <c r="AC69" s="3">
        <f>IF(AND(VLOOKUP(AC$1,test!$A$3:$F$32,5,FALSE) - VLOOKUP($B69,test!$A$3:$G$32,6,FALSE) &gt;= (test!$B$35)/1440),1,0)</f>
        <v>0</v>
      </c>
      <c r="AD69" s="3">
        <f>IF(AND(VLOOKUP(AD$1,test!$A$3:$F$32,5,FALSE) - VLOOKUP($B69,test!$A$3:$G$32,6,FALSE) &gt;= (test!$B$35)/1440),1,0)</f>
        <v>0</v>
      </c>
      <c r="AE69" s="3">
        <f>IF(AND(VLOOKUP(AE$1,test!$A$3:$F$32,5,FALSE) - VLOOKUP($B69,test!$A$3:$G$32,6,FALSE) &gt;= (test!$B$35)/1440),1,0)</f>
        <v>0</v>
      </c>
      <c r="AF69" s="3">
        <f>IF(AND(VLOOKUP(AF$1,test!$A$3:$F$32,5,FALSE) - VLOOKUP($B69,test!$A$3:$G$32,6,FALSE) &gt;= (test!$B$35)/1440),1,0)</f>
        <v>0</v>
      </c>
      <c r="AG69" s="3">
        <f>IF(AND(VLOOKUP(AG$1,test!$A$3:$F$32,5,FALSE) - VLOOKUP($B69,test!$A$3:$G$32,6,FALSE) &gt;= (test!$B$35)/1440),1,0)</f>
        <v>0</v>
      </c>
    </row>
    <row r="70" spans="1:33" x14ac:dyDescent="0.25">
      <c r="A70" t="s">
        <v>60</v>
      </c>
      <c r="B70" t="s">
        <v>13</v>
      </c>
      <c r="C70">
        <v>0</v>
      </c>
      <c r="D70" s="3">
        <f>IF(AND(VLOOKUP(D$1,test!$A$3:$F$32,5,FALSE) - VLOOKUP($B70,test!$A$3:$G$32,6,FALSE) &gt;= (test!$B$35)/1440),1,0)</f>
        <v>0</v>
      </c>
      <c r="E70" s="3">
        <f>IF(AND(VLOOKUP(E$1,test!$A$3:$F$32,5,FALSE) - VLOOKUP($B70,test!$A$3:$G$32,6,FALSE) &gt;= (test!$B$35)/1440),1,0)</f>
        <v>0</v>
      </c>
      <c r="F70" s="3">
        <f>IF(AND(VLOOKUP(F$1,test!$A$3:$F$32,5,FALSE) - VLOOKUP($B70,test!$A$3:$G$32,6,FALSE) &gt;= (test!$B$35)/1440),1,0)</f>
        <v>0</v>
      </c>
      <c r="G70" s="3">
        <f>IF(AND(VLOOKUP(G$1,test!$A$3:$F$32,5,FALSE) - VLOOKUP($B70,test!$A$3:$G$32,6,FALSE) &gt;= (test!$B$35)/1440),1,0)</f>
        <v>0</v>
      </c>
      <c r="H70" s="3">
        <f>IF(AND(VLOOKUP(H$1,test!$A$3:$F$32,5,FALSE) - VLOOKUP($B70,test!$A$3:$G$32,6,FALSE) &gt;= (test!$B$35)/1440),1,0)</f>
        <v>0</v>
      </c>
      <c r="I70" s="3">
        <f>IF(AND(VLOOKUP(I$1,test!$A$3:$F$32,5,FALSE) - VLOOKUP($B70,test!$A$3:$G$32,6,FALSE) &gt;= (test!$B$35)/1440),1,0)</f>
        <v>0</v>
      </c>
      <c r="J70" s="3">
        <f>IF(AND(VLOOKUP(J$1,test!$A$3:$F$32,5,FALSE) - VLOOKUP($B70,test!$A$3:$G$32,6,FALSE) &gt;= (test!$B$35)/1440),1,0)</f>
        <v>0</v>
      </c>
      <c r="K70" s="3">
        <f>IF(AND(VLOOKUP(K$1,test!$A$3:$F$32,5,FALSE) - VLOOKUP($B70,test!$A$3:$G$32,6,FALSE) &gt;= (test!$B$35)/1440),1,0)</f>
        <v>0</v>
      </c>
      <c r="L70" s="3">
        <f>IF(AND(VLOOKUP(L$1,test!$A$3:$F$32,5,FALSE) - VLOOKUP($B70,test!$A$3:$G$32,6,FALSE) &gt;= (test!$B$35)/1440),1,0)</f>
        <v>0</v>
      </c>
      <c r="M70" s="3">
        <f>IF(AND(VLOOKUP(M$1,test!$A$3:$F$32,5,FALSE) - VLOOKUP($B70,test!$A$3:$G$32,6,FALSE) &gt;= (test!$B$35)/1440),1,0)</f>
        <v>0</v>
      </c>
      <c r="N70" s="3">
        <f>IF(AND(VLOOKUP(N$1,test!$A$3:$F$32,5,FALSE) - VLOOKUP($B70,test!$A$3:$G$32,6,FALSE) &gt;= (test!$B$35)/1440),1,0)</f>
        <v>0</v>
      </c>
      <c r="O70" s="3">
        <f>IF(AND(VLOOKUP(O$1,test!$A$3:$F$32,5,FALSE) - VLOOKUP($B70,test!$A$3:$G$32,6,FALSE) &gt;= (test!$B$35)/1440),1,0)</f>
        <v>0</v>
      </c>
      <c r="P70" s="3">
        <f>IF(AND(VLOOKUP(P$1,test!$A$3:$F$32,5,FALSE) - VLOOKUP($B70,test!$A$3:$G$32,6,FALSE) &gt;= (test!$B$35)/1440),1,0)</f>
        <v>0</v>
      </c>
      <c r="Q70" s="3">
        <f>IF(AND(VLOOKUP(Q$1,test!$A$3:$F$32,5,FALSE) - VLOOKUP($B70,test!$A$3:$G$32,6,FALSE) &gt;= (test!$B$35)/1440),1,0)</f>
        <v>0</v>
      </c>
      <c r="R70" s="3">
        <f>IF(AND(VLOOKUP(R$1,test!$A$3:$F$32,5,FALSE) - VLOOKUP($B70,test!$A$3:$G$32,6,FALSE) &gt;= (test!$B$35)/1440),1,0)</f>
        <v>0</v>
      </c>
      <c r="S70" s="3">
        <f>IF(AND(VLOOKUP(S$1,test!$A$3:$F$32,5,FALSE) - VLOOKUP($B70,test!$A$3:$G$32,6,FALSE) &gt;= (test!$B$35)/1440),1,0)</f>
        <v>0</v>
      </c>
      <c r="T70" s="3">
        <f>IF(AND(VLOOKUP(T$1,test!$A$3:$F$32,5,FALSE) - VLOOKUP($B70,test!$A$3:$G$32,6,FALSE) &gt;= (test!$B$35)/1440),1,0)</f>
        <v>0</v>
      </c>
      <c r="U70" s="3">
        <f>IF(AND(VLOOKUP(U$1,test!$A$3:$F$32,5,FALSE) - VLOOKUP($B70,test!$A$3:$G$32,6,FALSE) &gt;= (test!$B$35)/1440),1,0)</f>
        <v>0</v>
      </c>
      <c r="V70" s="3">
        <f>IF(AND(VLOOKUP(V$1,test!$A$3:$F$32,5,FALSE) - VLOOKUP($B70,test!$A$3:$G$32,6,FALSE) &gt;= (test!$B$35)/1440),1,0)</f>
        <v>0</v>
      </c>
      <c r="W70" s="3">
        <f>IF(AND(VLOOKUP(W$1,test!$A$3:$F$32,5,FALSE) - VLOOKUP($B70,test!$A$3:$G$32,6,FALSE) &gt;= (test!$B$35)/1440),1,0)</f>
        <v>0</v>
      </c>
      <c r="X70" s="3">
        <f>IF(AND(VLOOKUP(X$1,test!$A$3:$F$32,5,FALSE) - VLOOKUP($B70,test!$A$3:$G$32,6,FALSE) &gt;= (test!$B$35)/1440),1,0)</f>
        <v>0</v>
      </c>
      <c r="Y70" s="3">
        <f>IF(AND(VLOOKUP(Y$1,test!$A$3:$F$32,5,FALSE) - VLOOKUP($B70,test!$A$3:$G$32,6,FALSE) &gt;= (test!$B$35)/1440),1,0)</f>
        <v>0</v>
      </c>
      <c r="Z70" s="3">
        <f>IF(AND(VLOOKUP(Z$1,test!$A$3:$F$32,5,FALSE) - VLOOKUP($B70,test!$A$3:$G$32,6,FALSE) &gt;= (test!$B$35)/1440),1,0)</f>
        <v>0</v>
      </c>
      <c r="AA70" s="3">
        <f>IF(AND(VLOOKUP(AA$1,test!$A$3:$F$32,5,FALSE) - VLOOKUP($B70,test!$A$3:$G$32,6,FALSE) &gt;= (test!$B$35)/1440),1,0)</f>
        <v>0</v>
      </c>
      <c r="AB70" s="3">
        <f>IF(AND(VLOOKUP(AB$1,test!$A$3:$F$32,5,FALSE) - VLOOKUP($B70,test!$A$3:$G$32,6,FALSE) &gt;= (test!$B$35)/1440),1,0)</f>
        <v>0</v>
      </c>
      <c r="AC70" s="3">
        <f>IF(AND(VLOOKUP(AC$1,test!$A$3:$F$32,5,FALSE) - VLOOKUP($B70,test!$A$3:$G$32,6,FALSE) &gt;= (test!$B$35)/1440),1,0)</f>
        <v>0</v>
      </c>
      <c r="AD70" s="3">
        <f>IF(AND(VLOOKUP(AD$1,test!$A$3:$F$32,5,FALSE) - VLOOKUP($B70,test!$A$3:$G$32,6,FALSE) &gt;= (test!$B$35)/1440),1,0)</f>
        <v>0</v>
      </c>
      <c r="AE70" s="3">
        <f>IF(AND(VLOOKUP(AE$1,test!$A$3:$F$32,5,FALSE) - VLOOKUP($B70,test!$A$3:$G$32,6,FALSE) &gt;= (test!$B$35)/1440),1,0)</f>
        <v>0</v>
      </c>
      <c r="AF70" s="3">
        <f>IF(AND(VLOOKUP(AF$1,test!$A$3:$F$32,5,FALSE) - VLOOKUP($B70,test!$A$3:$G$32,6,FALSE) &gt;= (test!$B$35)/1440),1,0)</f>
        <v>0</v>
      </c>
      <c r="AG70" s="3">
        <f>IF(AND(VLOOKUP(AG$1,test!$A$3:$F$32,5,FALSE) - VLOOKUP($B70,test!$A$3:$G$32,6,FALSE) &gt;= (test!$B$35)/1440),1,0)</f>
        <v>0</v>
      </c>
    </row>
    <row r="71" spans="1:33" x14ac:dyDescent="0.25">
      <c r="A71" t="s">
        <v>60</v>
      </c>
      <c r="B71" t="s">
        <v>14</v>
      </c>
      <c r="C71">
        <v>0</v>
      </c>
      <c r="D71" s="3">
        <f>IF(AND(VLOOKUP(D$1,test!$A$3:$F$32,5,FALSE) - VLOOKUP($B71,test!$A$3:$G$32,6,FALSE) &gt;= (test!$B$35)/1440),1,0)</f>
        <v>0</v>
      </c>
      <c r="E71" s="3">
        <f>IF(AND(VLOOKUP(E$1,test!$A$3:$F$32,5,FALSE) - VLOOKUP($B71,test!$A$3:$G$32,6,FALSE) &gt;= (test!$B$35)/1440),1,0)</f>
        <v>0</v>
      </c>
      <c r="F71" s="3">
        <f>IF(AND(VLOOKUP(F$1,test!$A$3:$F$32,5,FALSE) - VLOOKUP($B71,test!$A$3:$G$32,6,FALSE) &gt;= (test!$B$35)/1440),1,0)</f>
        <v>0</v>
      </c>
      <c r="G71" s="3">
        <f>IF(AND(VLOOKUP(G$1,test!$A$3:$F$32,5,FALSE) - VLOOKUP($B71,test!$A$3:$G$32,6,FALSE) &gt;= (test!$B$35)/1440),1,0)</f>
        <v>0</v>
      </c>
      <c r="H71" s="3">
        <f>IF(AND(VLOOKUP(H$1,test!$A$3:$F$32,5,FALSE) - VLOOKUP($B71,test!$A$3:$G$32,6,FALSE) &gt;= (test!$B$35)/1440),1,0)</f>
        <v>0</v>
      </c>
      <c r="I71" s="3">
        <f>IF(AND(VLOOKUP(I$1,test!$A$3:$F$32,5,FALSE) - VLOOKUP($B71,test!$A$3:$G$32,6,FALSE) &gt;= (test!$B$35)/1440),1,0)</f>
        <v>0</v>
      </c>
      <c r="J71" s="3">
        <f>IF(AND(VLOOKUP(J$1,test!$A$3:$F$32,5,FALSE) - VLOOKUP($B71,test!$A$3:$G$32,6,FALSE) &gt;= (test!$B$35)/1440),1,0)</f>
        <v>0</v>
      </c>
      <c r="K71" s="3">
        <f>IF(AND(VLOOKUP(K$1,test!$A$3:$F$32,5,FALSE) - VLOOKUP($B71,test!$A$3:$G$32,6,FALSE) &gt;= (test!$B$35)/1440),1,0)</f>
        <v>0</v>
      </c>
      <c r="L71" s="3">
        <f>IF(AND(VLOOKUP(L$1,test!$A$3:$F$32,5,FALSE) - VLOOKUP($B71,test!$A$3:$G$32,6,FALSE) &gt;= (test!$B$35)/1440),1,0)</f>
        <v>0</v>
      </c>
      <c r="M71" s="3">
        <f>IF(AND(VLOOKUP(M$1,test!$A$3:$F$32,5,FALSE) - VLOOKUP($B71,test!$A$3:$G$32,6,FALSE) &gt;= (test!$B$35)/1440),1,0)</f>
        <v>0</v>
      </c>
      <c r="N71" s="3">
        <f>IF(AND(VLOOKUP(N$1,test!$A$3:$F$32,5,FALSE) - VLOOKUP($B71,test!$A$3:$G$32,6,FALSE) &gt;= (test!$B$35)/1440),1,0)</f>
        <v>0</v>
      </c>
      <c r="O71" s="3">
        <f>IF(AND(VLOOKUP(O$1,test!$A$3:$F$32,5,FALSE) - VLOOKUP($B71,test!$A$3:$G$32,6,FALSE) &gt;= (test!$B$35)/1440),1,0)</f>
        <v>0</v>
      </c>
      <c r="P71" s="3">
        <f>IF(AND(VLOOKUP(P$1,test!$A$3:$F$32,5,FALSE) - VLOOKUP($B71,test!$A$3:$G$32,6,FALSE) &gt;= (test!$B$35)/1440),1,0)</f>
        <v>0</v>
      </c>
      <c r="Q71" s="3">
        <f>IF(AND(VLOOKUP(Q$1,test!$A$3:$F$32,5,FALSE) - VLOOKUP($B71,test!$A$3:$G$32,6,FALSE) &gt;= (test!$B$35)/1440),1,0)</f>
        <v>0</v>
      </c>
      <c r="R71" s="3">
        <f>IF(AND(VLOOKUP(R$1,test!$A$3:$F$32,5,FALSE) - VLOOKUP($B71,test!$A$3:$G$32,6,FALSE) &gt;= (test!$B$35)/1440),1,0)</f>
        <v>0</v>
      </c>
      <c r="S71" s="3">
        <f>IF(AND(VLOOKUP(S$1,test!$A$3:$F$32,5,FALSE) - VLOOKUP($B71,test!$A$3:$G$32,6,FALSE) &gt;= (test!$B$35)/1440),1,0)</f>
        <v>0</v>
      </c>
      <c r="T71" s="3">
        <f>IF(AND(VLOOKUP(T$1,test!$A$3:$F$32,5,FALSE) - VLOOKUP($B71,test!$A$3:$G$32,6,FALSE) &gt;= (test!$B$35)/1440),1,0)</f>
        <v>0</v>
      </c>
      <c r="U71" s="3">
        <f>IF(AND(VLOOKUP(U$1,test!$A$3:$F$32,5,FALSE) - VLOOKUP($B71,test!$A$3:$G$32,6,FALSE) &gt;= (test!$B$35)/1440),1,0)</f>
        <v>0</v>
      </c>
      <c r="V71" s="3">
        <f>IF(AND(VLOOKUP(V$1,test!$A$3:$F$32,5,FALSE) - VLOOKUP($B71,test!$A$3:$G$32,6,FALSE) &gt;= (test!$B$35)/1440),1,0)</f>
        <v>0</v>
      </c>
      <c r="W71" s="3">
        <f>IF(AND(VLOOKUP(W$1,test!$A$3:$F$32,5,FALSE) - VLOOKUP($B71,test!$A$3:$G$32,6,FALSE) &gt;= (test!$B$35)/1440),1,0)</f>
        <v>0</v>
      </c>
      <c r="X71" s="3">
        <f>IF(AND(VLOOKUP(X$1,test!$A$3:$F$32,5,FALSE) - VLOOKUP($B71,test!$A$3:$G$32,6,FALSE) &gt;= (test!$B$35)/1440),1,0)</f>
        <v>0</v>
      </c>
      <c r="Y71" s="3">
        <f>IF(AND(VLOOKUP(Y$1,test!$A$3:$F$32,5,FALSE) - VLOOKUP($B71,test!$A$3:$G$32,6,FALSE) &gt;= (test!$B$35)/1440),1,0)</f>
        <v>0</v>
      </c>
      <c r="Z71" s="3">
        <f>IF(AND(VLOOKUP(Z$1,test!$A$3:$F$32,5,FALSE) - VLOOKUP($B71,test!$A$3:$G$32,6,FALSE) &gt;= (test!$B$35)/1440),1,0)</f>
        <v>0</v>
      </c>
      <c r="AA71" s="3">
        <f>IF(AND(VLOOKUP(AA$1,test!$A$3:$F$32,5,FALSE) - VLOOKUP($B71,test!$A$3:$G$32,6,FALSE) &gt;= (test!$B$35)/1440),1,0)</f>
        <v>0</v>
      </c>
      <c r="AB71" s="3">
        <f>IF(AND(VLOOKUP(AB$1,test!$A$3:$F$32,5,FALSE) - VLOOKUP($B71,test!$A$3:$G$32,6,FALSE) &gt;= (test!$B$35)/1440),1,0)</f>
        <v>0</v>
      </c>
      <c r="AC71" s="3">
        <f>IF(AND(VLOOKUP(AC$1,test!$A$3:$F$32,5,FALSE) - VLOOKUP($B71,test!$A$3:$G$32,6,FALSE) &gt;= (test!$B$35)/1440),1,0)</f>
        <v>0</v>
      </c>
      <c r="AD71" s="3">
        <f>IF(AND(VLOOKUP(AD$1,test!$A$3:$F$32,5,FALSE) - VLOOKUP($B71,test!$A$3:$G$32,6,FALSE) &gt;= (test!$B$35)/1440),1,0)</f>
        <v>0</v>
      </c>
      <c r="AE71" s="3">
        <f>IF(AND(VLOOKUP(AE$1,test!$A$3:$F$32,5,FALSE) - VLOOKUP($B71,test!$A$3:$G$32,6,FALSE) &gt;= (test!$B$35)/1440),1,0)</f>
        <v>0</v>
      </c>
      <c r="AF71" s="3">
        <f>IF(AND(VLOOKUP(AF$1,test!$A$3:$F$32,5,FALSE) - VLOOKUP($B71,test!$A$3:$G$32,6,FALSE) &gt;= (test!$B$35)/1440),1,0)</f>
        <v>0</v>
      </c>
      <c r="AG71" s="3">
        <f>IF(AND(VLOOKUP(AG$1,test!$A$3:$F$32,5,FALSE) - VLOOKUP($B71,test!$A$3:$G$32,6,FALSE) &gt;= (test!$B$35)/1440),1,0)</f>
        <v>0</v>
      </c>
    </row>
    <row r="72" spans="1:33" x14ac:dyDescent="0.25">
      <c r="A72" t="s">
        <v>60</v>
      </c>
      <c r="B72" t="s">
        <v>15</v>
      </c>
      <c r="C72">
        <v>0</v>
      </c>
      <c r="D72" s="3">
        <f>IF(AND(VLOOKUP(D$1,test!$A$3:$F$32,5,FALSE) - VLOOKUP($B72,test!$A$3:$G$32,6,FALSE) &gt;= (test!$B$35)/1440),1,0)</f>
        <v>0</v>
      </c>
      <c r="E72" s="3">
        <f>IF(AND(VLOOKUP(E$1,test!$A$3:$F$32,5,FALSE) - VLOOKUP($B72,test!$A$3:$G$32,6,FALSE) &gt;= (test!$B$35)/1440),1,0)</f>
        <v>0</v>
      </c>
      <c r="F72" s="3">
        <f>IF(AND(VLOOKUP(F$1,test!$A$3:$F$32,5,FALSE) - VLOOKUP($B72,test!$A$3:$G$32,6,FALSE) &gt;= (test!$B$35)/1440),1,0)</f>
        <v>0</v>
      </c>
      <c r="G72" s="3">
        <f>IF(AND(VLOOKUP(G$1,test!$A$3:$F$32,5,FALSE) - VLOOKUP($B72,test!$A$3:$G$32,6,FALSE) &gt;= (test!$B$35)/1440),1,0)</f>
        <v>0</v>
      </c>
      <c r="H72" s="3">
        <f>IF(AND(VLOOKUP(H$1,test!$A$3:$F$32,5,FALSE) - VLOOKUP($B72,test!$A$3:$G$32,6,FALSE) &gt;= (test!$B$35)/1440),1,0)</f>
        <v>0</v>
      </c>
      <c r="I72" s="3">
        <f>IF(AND(VLOOKUP(I$1,test!$A$3:$F$32,5,FALSE) - VLOOKUP($B72,test!$A$3:$G$32,6,FALSE) &gt;= (test!$B$35)/1440),1,0)</f>
        <v>0</v>
      </c>
      <c r="J72" s="3">
        <f>IF(AND(VLOOKUP(J$1,test!$A$3:$F$32,5,FALSE) - VLOOKUP($B72,test!$A$3:$G$32,6,FALSE) &gt;= (test!$B$35)/1440),1,0)</f>
        <v>0</v>
      </c>
      <c r="K72" s="3">
        <f>IF(AND(VLOOKUP(K$1,test!$A$3:$F$32,5,FALSE) - VLOOKUP($B72,test!$A$3:$G$32,6,FALSE) &gt;= (test!$B$35)/1440),1,0)</f>
        <v>0</v>
      </c>
      <c r="L72" s="3">
        <f>IF(AND(VLOOKUP(L$1,test!$A$3:$F$32,5,FALSE) - VLOOKUP($B72,test!$A$3:$G$32,6,FALSE) &gt;= (test!$B$35)/1440),1,0)</f>
        <v>0</v>
      </c>
      <c r="M72" s="3">
        <f>IF(AND(VLOOKUP(M$1,test!$A$3:$F$32,5,FALSE) - VLOOKUP($B72,test!$A$3:$G$32,6,FALSE) &gt;= (test!$B$35)/1440),1,0)</f>
        <v>0</v>
      </c>
      <c r="N72" s="3">
        <f>IF(AND(VLOOKUP(N$1,test!$A$3:$F$32,5,FALSE) - VLOOKUP($B72,test!$A$3:$G$32,6,FALSE) &gt;= (test!$B$35)/1440),1,0)</f>
        <v>0</v>
      </c>
      <c r="O72" s="3">
        <f>IF(AND(VLOOKUP(O$1,test!$A$3:$F$32,5,FALSE) - VLOOKUP($B72,test!$A$3:$G$32,6,FALSE) &gt;= (test!$B$35)/1440),1,0)</f>
        <v>0</v>
      </c>
      <c r="P72" s="3">
        <f>IF(AND(VLOOKUP(P$1,test!$A$3:$F$32,5,FALSE) - VLOOKUP($B72,test!$A$3:$G$32,6,FALSE) &gt;= (test!$B$35)/1440),1,0)</f>
        <v>0</v>
      </c>
      <c r="Q72" s="3">
        <f>IF(AND(VLOOKUP(Q$1,test!$A$3:$F$32,5,FALSE) - VLOOKUP($B72,test!$A$3:$G$32,6,FALSE) &gt;= (test!$B$35)/1440),1,0)</f>
        <v>0</v>
      </c>
      <c r="R72" s="3">
        <f>IF(AND(VLOOKUP(R$1,test!$A$3:$F$32,5,FALSE) - VLOOKUP($B72,test!$A$3:$G$32,6,FALSE) &gt;= (test!$B$35)/1440),1,0)</f>
        <v>0</v>
      </c>
      <c r="S72" s="3">
        <f>IF(AND(VLOOKUP(S$1,test!$A$3:$F$32,5,FALSE) - VLOOKUP($B72,test!$A$3:$G$32,6,FALSE) &gt;= (test!$B$35)/1440),1,0)</f>
        <v>0</v>
      </c>
      <c r="T72" s="3">
        <f>IF(AND(VLOOKUP(T$1,test!$A$3:$F$32,5,FALSE) - VLOOKUP($B72,test!$A$3:$G$32,6,FALSE) &gt;= (test!$B$35)/1440),1,0)</f>
        <v>0</v>
      </c>
      <c r="U72" s="3">
        <f>IF(AND(VLOOKUP(U$1,test!$A$3:$F$32,5,FALSE) - VLOOKUP($B72,test!$A$3:$G$32,6,FALSE) &gt;= (test!$B$35)/1440),1,0)</f>
        <v>0</v>
      </c>
      <c r="V72" s="3">
        <f>IF(AND(VLOOKUP(V$1,test!$A$3:$F$32,5,FALSE) - VLOOKUP($B72,test!$A$3:$G$32,6,FALSE) &gt;= (test!$B$35)/1440),1,0)</f>
        <v>0</v>
      </c>
      <c r="W72" s="3">
        <f>IF(AND(VLOOKUP(W$1,test!$A$3:$F$32,5,FALSE) - VLOOKUP($B72,test!$A$3:$G$32,6,FALSE) &gt;= (test!$B$35)/1440),1,0)</f>
        <v>0</v>
      </c>
      <c r="X72" s="3">
        <f>IF(AND(VLOOKUP(X$1,test!$A$3:$F$32,5,FALSE) - VLOOKUP($B72,test!$A$3:$G$32,6,FALSE) &gt;= (test!$B$35)/1440),1,0)</f>
        <v>0</v>
      </c>
      <c r="Y72" s="3">
        <f>IF(AND(VLOOKUP(Y$1,test!$A$3:$F$32,5,FALSE) - VLOOKUP($B72,test!$A$3:$G$32,6,FALSE) &gt;= (test!$B$35)/1440),1,0)</f>
        <v>0</v>
      </c>
      <c r="Z72" s="3">
        <f>IF(AND(VLOOKUP(Z$1,test!$A$3:$F$32,5,FALSE) - VLOOKUP($B72,test!$A$3:$G$32,6,FALSE) &gt;= (test!$B$35)/1440),1,0)</f>
        <v>0</v>
      </c>
      <c r="AA72" s="3">
        <f>IF(AND(VLOOKUP(AA$1,test!$A$3:$F$32,5,FALSE) - VLOOKUP($B72,test!$A$3:$G$32,6,FALSE) &gt;= (test!$B$35)/1440),1,0)</f>
        <v>0</v>
      </c>
      <c r="AB72" s="3">
        <f>IF(AND(VLOOKUP(AB$1,test!$A$3:$F$32,5,FALSE) - VLOOKUP($B72,test!$A$3:$G$32,6,FALSE) &gt;= (test!$B$35)/1440),1,0)</f>
        <v>0</v>
      </c>
      <c r="AC72" s="3">
        <f>IF(AND(VLOOKUP(AC$1,test!$A$3:$F$32,5,FALSE) - VLOOKUP($B72,test!$A$3:$G$32,6,FALSE) &gt;= (test!$B$35)/1440),1,0)</f>
        <v>0</v>
      </c>
      <c r="AD72" s="3">
        <f>IF(AND(VLOOKUP(AD$1,test!$A$3:$F$32,5,FALSE) - VLOOKUP($B72,test!$A$3:$G$32,6,FALSE) &gt;= (test!$B$35)/1440),1,0)</f>
        <v>0</v>
      </c>
      <c r="AE72" s="3">
        <f>IF(AND(VLOOKUP(AE$1,test!$A$3:$F$32,5,FALSE) - VLOOKUP($B72,test!$A$3:$G$32,6,FALSE) &gt;= (test!$B$35)/1440),1,0)</f>
        <v>0</v>
      </c>
      <c r="AF72" s="3">
        <f>IF(AND(VLOOKUP(AF$1,test!$A$3:$F$32,5,FALSE) - VLOOKUP($B72,test!$A$3:$G$32,6,FALSE) &gt;= (test!$B$35)/1440),1,0)</f>
        <v>0</v>
      </c>
      <c r="AG72" s="3">
        <f>IF(AND(VLOOKUP(AG$1,test!$A$3:$F$32,5,FALSE) - VLOOKUP($B72,test!$A$3:$G$32,6,FALSE) &gt;= (test!$B$35)/1440),1,0)</f>
        <v>0</v>
      </c>
    </row>
    <row r="73" spans="1:33" x14ac:dyDescent="0.25">
      <c r="A73" t="s">
        <v>60</v>
      </c>
      <c r="B73" t="s">
        <v>18</v>
      </c>
      <c r="C73">
        <v>0</v>
      </c>
      <c r="D73" s="3">
        <f>IF(AND(VLOOKUP(D$1,test!$A$3:$F$32,5,FALSE) - VLOOKUP($B73,test!$A$3:$G$32,6,FALSE) &gt;= (test!$B$35)/1440),1,0)</f>
        <v>0</v>
      </c>
      <c r="E73" s="3">
        <f>IF(AND(VLOOKUP(E$1,test!$A$3:$F$32,5,FALSE) - VLOOKUP($B73,test!$A$3:$G$32,6,FALSE) &gt;= (test!$B$35)/1440),1,0)</f>
        <v>0</v>
      </c>
      <c r="F73" s="3">
        <f>IF(AND(VLOOKUP(F$1,test!$A$3:$F$32,5,FALSE) - VLOOKUP($B73,test!$A$3:$G$32,6,FALSE) &gt;= (test!$B$35)/1440),1,0)</f>
        <v>1</v>
      </c>
      <c r="G73" s="3">
        <f>IF(AND(VLOOKUP(G$1,test!$A$3:$F$32,5,FALSE) - VLOOKUP($B73,test!$A$3:$G$32,6,FALSE) &gt;= (test!$B$35)/1440),1,0)</f>
        <v>1</v>
      </c>
      <c r="H73" s="3">
        <f>IF(AND(VLOOKUP(H$1,test!$A$3:$F$32,5,FALSE) - VLOOKUP($B73,test!$A$3:$G$32,6,FALSE) &gt;= (test!$B$35)/1440),1,0)</f>
        <v>1</v>
      </c>
      <c r="I73" s="3">
        <f>IF(AND(VLOOKUP(I$1,test!$A$3:$F$32,5,FALSE) - VLOOKUP($B73,test!$A$3:$G$32,6,FALSE) &gt;= (test!$B$35)/1440),1,0)</f>
        <v>1</v>
      </c>
      <c r="J73" s="3">
        <f>IF(AND(VLOOKUP(J$1,test!$A$3:$F$32,5,FALSE) - VLOOKUP($B73,test!$A$3:$G$32,6,FALSE) &gt;= (test!$B$35)/1440),1,0)</f>
        <v>1</v>
      </c>
      <c r="K73" s="3">
        <f>IF(AND(VLOOKUP(K$1,test!$A$3:$F$32,5,FALSE) - VLOOKUP($B73,test!$A$3:$G$32,6,FALSE) &gt;= (test!$B$35)/1440),1,0)</f>
        <v>1</v>
      </c>
      <c r="L73" s="3">
        <f>IF(AND(VLOOKUP(L$1,test!$A$3:$F$32,5,FALSE) - VLOOKUP($B73,test!$A$3:$G$32,6,FALSE) &gt;= (test!$B$35)/1440),1,0)</f>
        <v>0</v>
      </c>
      <c r="M73" s="3">
        <f>IF(AND(VLOOKUP(M$1,test!$A$3:$F$32,5,FALSE) - VLOOKUP($B73,test!$A$3:$G$32,6,FALSE) &gt;= (test!$B$35)/1440),1,0)</f>
        <v>0</v>
      </c>
      <c r="N73" s="3">
        <f>IF(AND(VLOOKUP(N$1,test!$A$3:$F$32,5,FALSE) - VLOOKUP($B73,test!$A$3:$G$32,6,FALSE) &gt;= (test!$B$35)/1440),1,0)</f>
        <v>1</v>
      </c>
      <c r="O73" s="3">
        <f>IF(AND(VLOOKUP(O$1,test!$A$3:$F$32,5,FALSE) - VLOOKUP($B73,test!$A$3:$G$32,6,FALSE) &gt;= (test!$B$35)/1440),1,0)</f>
        <v>1</v>
      </c>
      <c r="P73" s="3">
        <f>IF(AND(VLOOKUP(P$1,test!$A$3:$F$32,5,FALSE) - VLOOKUP($B73,test!$A$3:$G$32,6,FALSE) &gt;= (test!$B$35)/1440),1,0)</f>
        <v>1</v>
      </c>
      <c r="Q73" s="3">
        <f>IF(AND(VLOOKUP(Q$1,test!$A$3:$F$32,5,FALSE) - VLOOKUP($B73,test!$A$3:$G$32,6,FALSE) &gt;= (test!$B$35)/1440),1,0)</f>
        <v>0</v>
      </c>
      <c r="R73" s="3">
        <f>IF(AND(VLOOKUP(R$1,test!$A$3:$F$32,5,FALSE) - VLOOKUP($B73,test!$A$3:$G$32,6,FALSE) &gt;= (test!$B$35)/1440),1,0)</f>
        <v>0</v>
      </c>
      <c r="S73" s="3">
        <f>IF(AND(VLOOKUP(S$1,test!$A$3:$F$32,5,FALSE) - VLOOKUP($B73,test!$A$3:$G$32,6,FALSE) &gt;= (test!$B$35)/1440),1,0)</f>
        <v>0</v>
      </c>
      <c r="T73" s="3">
        <f>IF(AND(VLOOKUP(T$1,test!$A$3:$F$32,5,FALSE) - VLOOKUP($B73,test!$A$3:$G$32,6,FALSE) &gt;= (test!$B$35)/1440),1,0)</f>
        <v>0</v>
      </c>
      <c r="U73" s="3">
        <f>IF(AND(VLOOKUP(U$1,test!$A$3:$F$32,5,FALSE) - VLOOKUP($B73,test!$A$3:$G$32,6,FALSE) &gt;= (test!$B$35)/1440),1,0)</f>
        <v>1</v>
      </c>
      <c r="V73" s="3">
        <f>IF(AND(VLOOKUP(V$1,test!$A$3:$F$32,5,FALSE) - VLOOKUP($B73,test!$A$3:$G$32,6,FALSE) &gt;= (test!$B$35)/1440),1,0)</f>
        <v>1</v>
      </c>
      <c r="W73" s="3">
        <f>IF(AND(VLOOKUP(W$1,test!$A$3:$F$32,5,FALSE) - VLOOKUP($B73,test!$A$3:$G$32,6,FALSE) &gt;= (test!$B$35)/1440),1,0)</f>
        <v>1</v>
      </c>
      <c r="X73" s="3">
        <f>IF(AND(VLOOKUP(X$1,test!$A$3:$F$32,5,FALSE) - VLOOKUP($B73,test!$A$3:$G$32,6,FALSE) &gt;= (test!$B$35)/1440),1,0)</f>
        <v>1</v>
      </c>
      <c r="Y73" s="3">
        <f>IF(AND(VLOOKUP(Y$1,test!$A$3:$F$32,5,FALSE) - VLOOKUP($B73,test!$A$3:$G$32,6,FALSE) &gt;= (test!$B$35)/1440),1,0)</f>
        <v>1</v>
      </c>
      <c r="Z73" s="3">
        <f>IF(AND(VLOOKUP(Z$1,test!$A$3:$F$32,5,FALSE) - VLOOKUP($B73,test!$A$3:$G$32,6,FALSE) &gt;= (test!$B$35)/1440),1,0)</f>
        <v>0</v>
      </c>
      <c r="AA73" s="3">
        <f>IF(AND(VLOOKUP(AA$1,test!$A$3:$F$32,5,FALSE) - VLOOKUP($B73,test!$A$3:$G$32,6,FALSE) &gt;= (test!$B$35)/1440),1,0)</f>
        <v>0</v>
      </c>
      <c r="AB73" s="3">
        <f>IF(AND(VLOOKUP(AB$1,test!$A$3:$F$32,5,FALSE) - VLOOKUP($B73,test!$A$3:$G$32,6,FALSE) &gt;= (test!$B$35)/1440),1,0)</f>
        <v>1</v>
      </c>
      <c r="AC73" s="3">
        <f>IF(AND(VLOOKUP(AC$1,test!$A$3:$F$32,5,FALSE) - VLOOKUP($B73,test!$A$3:$G$32,6,FALSE) &gt;= (test!$B$35)/1440),1,0)</f>
        <v>1</v>
      </c>
      <c r="AD73" s="3">
        <f>IF(AND(VLOOKUP(AD$1,test!$A$3:$F$32,5,FALSE) - VLOOKUP($B73,test!$A$3:$G$32,6,FALSE) &gt;= (test!$B$35)/1440),1,0)</f>
        <v>1</v>
      </c>
      <c r="AE73" s="3">
        <f>IF(AND(VLOOKUP(AE$1,test!$A$3:$F$32,5,FALSE) - VLOOKUP($B73,test!$A$3:$G$32,6,FALSE) &gt;= (test!$B$35)/1440),1,0)</f>
        <v>0</v>
      </c>
      <c r="AF73" s="3">
        <f>IF(AND(VLOOKUP(AF$1,test!$A$3:$F$32,5,FALSE) - VLOOKUP($B73,test!$A$3:$G$32,6,FALSE) &gt;= (test!$B$35)/1440),1,0)</f>
        <v>1</v>
      </c>
      <c r="AG73" s="3">
        <f>IF(AND(VLOOKUP(AG$1,test!$A$3:$F$32,5,FALSE) - VLOOKUP($B73,test!$A$3:$G$32,6,FALSE) &gt;= (test!$B$35)/1440),1,0)</f>
        <v>1</v>
      </c>
    </row>
    <row r="74" spans="1:33" x14ac:dyDescent="0.25">
      <c r="A74" t="s">
        <v>60</v>
      </c>
      <c r="B74" t="s">
        <v>20</v>
      </c>
      <c r="C74">
        <v>0</v>
      </c>
      <c r="D74" s="3">
        <f>IF(AND(VLOOKUP(D$1,test!$A$3:$F$32,5,FALSE) - VLOOKUP($B74,test!$A$3:$G$32,6,FALSE) &gt;= (test!$B$35)/1440),1,0)</f>
        <v>0</v>
      </c>
      <c r="E74" s="3">
        <f>IF(AND(VLOOKUP(E$1,test!$A$3:$F$32,5,FALSE) - VLOOKUP($B74,test!$A$3:$G$32,6,FALSE) &gt;= (test!$B$35)/1440),1,0)</f>
        <v>0</v>
      </c>
      <c r="F74" s="3">
        <f>IF(AND(VLOOKUP(F$1,test!$A$3:$F$32,5,FALSE) - VLOOKUP($B74,test!$A$3:$G$32,6,FALSE) &gt;= (test!$B$35)/1440),1,0)</f>
        <v>0</v>
      </c>
      <c r="G74" s="3">
        <f>IF(AND(VLOOKUP(G$1,test!$A$3:$F$32,5,FALSE) - VLOOKUP($B74,test!$A$3:$G$32,6,FALSE) &gt;= (test!$B$35)/1440),1,0)</f>
        <v>1</v>
      </c>
      <c r="H74" s="3">
        <f>IF(AND(VLOOKUP(H$1,test!$A$3:$F$32,5,FALSE) - VLOOKUP($B74,test!$A$3:$G$32,6,FALSE) &gt;= (test!$B$35)/1440),1,0)</f>
        <v>1</v>
      </c>
      <c r="I74" s="3">
        <f>IF(AND(VLOOKUP(I$1,test!$A$3:$F$32,5,FALSE) - VLOOKUP($B74,test!$A$3:$G$32,6,FALSE) &gt;= (test!$B$35)/1440),1,0)</f>
        <v>1</v>
      </c>
      <c r="J74" s="3">
        <f>IF(AND(VLOOKUP(J$1,test!$A$3:$F$32,5,FALSE) - VLOOKUP($B74,test!$A$3:$G$32,6,FALSE) &gt;= (test!$B$35)/1440),1,0)</f>
        <v>1</v>
      </c>
      <c r="K74" s="3">
        <f>IF(AND(VLOOKUP(K$1,test!$A$3:$F$32,5,FALSE) - VLOOKUP($B74,test!$A$3:$G$32,6,FALSE) &gt;= (test!$B$35)/1440),1,0)</f>
        <v>1</v>
      </c>
      <c r="L74" s="3">
        <f>IF(AND(VLOOKUP(L$1,test!$A$3:$F$32,5,FALSE) - VLOOKUP($B74,test!$A$3:$G$32,6,FALSE) &gt;= (test!$B$35)/1440),1,0)</f>
        <v>0</v>
      </c>
      <c r="M74" s="3">
        <f>IF(AND(VLOOKUP(M$1,test!$A$3:$F$32,5,FALSE) - VLOOKUP($B74,test!$A$3:$G$32,6,FALSE) &gt;= (test!$B$35)/1440),1,0)</f>
        <v>0</v>
      </c>
      <c r="N74" s="3">
        <f>IF(AND(VLOOKUP(N$1,test!$A$3:$F$32,5,FALSE) - VLOOKUP($B74,test!$A$3:$G$32,6,FALSE) &gt;= (test!$B$35)/1440),1,0)</f>
        <v>0</v>
      </c>
      <c r="O74" s="3">
        <f>IF(AND(VLOOKUP(O$1,test!$A$3:$F$32,5,FALSE) - VLOOKUP($B74,test!$A$3:$G$32,6,FALSE) &gt;= (test!$B$35)/1440),1,0)</f>
        <v>1</v>
      </c>
      <c r="P74" s="3">
        <f>IF(AND(VLOOKUP(P$1,test!$A$3:$F$32,5,FALSE) - VLOOKUP($B74,test!$A$3:$G$32,6,FALSE) &gt;= (test!$B$35)/1440),1,0)</f>
        <v>1</v>
      </c>
      <c r="Q74" s="3">
        <f>IF(AND(VLOOKUP(Q$1,test!$A$3:$F$32,5,FALSE) - VLOOKUP($B74,test!$A$3:$G$32,6,FALSE) &gt;= (test!$B$35)/1440),1,0)</f>
        <v>0</v>
      </c>
      <c r="R74" s="3">
        <f>IF(AND(VLOOKUP(R$1,test!$A$3:$F$32,5,FALSE) - VLOOKUP($B74,test!$A$3:$G$32,6,FALSE) &gt;= (test!$B$35)/1440),1,0)</f>
        <v>0</v>
      </c>
      <c r="S74" s="3">
        <f>IF(AND(VLOOKUP(S$1,test!$A$3:$F$32,5,FALSE) - VLOOKUP($B74,test!$A$3:$G$32,6,FALSE) &gt;= (test!$B$35)/1440),1,0)</f>
        <v>0</v>
      </c>
      <c r="T74" s="3">
        <f>IF(AND(VLOOKUP(T$1,test!$A$3:$F$32,5,FALSE) - VLOOKUP($B74,test!$A$3:$G$32,6,FALSE) &gt;= (test!$B$35)/1440),1,0)</f>
        <v>0</v>
      </c>
      <c r="U74" s="3">
        <f>IF(AND(VLOOKUP(U$1,test!$A$3:$F$32,5,FALSE) - VLOOKUP($B74,test!$A$3:$G$32,6,FALSE) &gt;= (test!$B$35)/1440),1,0)</f>
        <v>0</v>
      </c>
      <c r="V74" s="3">
        <f>IF(AND(VLOOKUP(V$1,test!$A$3:$F$32,5,FALSE) - VLOOKUP($B74,test!$A$3:$G$32,6,FALSE) &gt;= (test!$B$35)/1440),1,0)</f>
        <v>1</v>
      </c>
      <c r="W74" s="3">
        <f>IF(AND(VLOOKUP(W$1,test!$A$3:$F$32,5,FALSE) - VLOOKUP($B74,test!$A$3:$G$32,6,FALSE) &gt;= (test!$B$35)/1440),1,0)</f>
        <v>1</v>
      </c>
      <c r="X74" s="3">
        <f>IF(AND(VLOOKUP(X$1,test!$A$3:$F$32,5,FALSE) - VLOOKUP($B74,test!$A$3:$G$32,6,FALSE) &gt;= (test!$B$35)/1440),1,0)</f>
        <v>1</v>
      </c>
      <c r="Y74" s="3">
        <f>IF(AND(VLOOKUP(Y$1,test!$A$3:$F$32,5,FALSE) - VLOOKUP($B74,test!$A$3:$G$32,6,FALSE) &gt;= (test!$B$35)/1440),1,0)</f>
        <v>1</v>
      </c>
      <c r="Z74" s="3">
        <f>IF(AND(VLOOKUP(Z$1,test!$A$3:$F$32,5,FALSE) - VLOOKUP($B74,test!$A$3:$G$32,6,FALSE) &gt;= (test!$B$35)/1440),1,0)</f>
        <v>0</v>
      </c>
      <c r="AA74" s="3">
        <f>IF(AND(VLOOKUP(AA$1,test!$A$3:$F$32,5,FALSE) - VLOOKUP($B74,test!$A$3:$G$32,6,FALSE) &gt;= (test!$B$35)/1440),1,0)</f>
        <v>0</v>
      </c>
      <c r="AB74" s="3">
        <f>IF(AND(VLOOKUP(AB$1,test!$A$3:$F$32,5,FALSE) - VLOOKUP($B74,test!$A$3:$G$32,6,FALSE) &gt;= (test!$B$35)/1440),1,0)</f>
        <v>0</v>
      </c>
      <c r="AC74" s="3">
        <f>IF(AND(VLOOKUP(AC$1,test!$A$3:$F$32,5,FALSE) - VLOOKUP($B74,test!$A$3:$G$32,6,FALSE) &gt;= (test!$B$35)/1440),1,0)</f>
        <v>1</v>
      </c>
      <c r="AD74" s="3">
        <f>IF(AND(VLOOKUP(AD$1,test!$A$3:$F$32,5,FALSE) - VLOOKUP($B74,test!$A$3:$G$32,6,FALSE) &gt;= (test!$B$35)/1440),1,0)</f>
        <v>1</v>
      </c>
      <c r="AE74" s="3">
        <f>IF(AND(VLOOKUP(AE$1,test!$A$3:$F$32,5,FALSE) - VLOOKUP($B74,test!$A$3:$G$32,6,FALSE) &gt;= (test!$B$35)/1440),1,0)</f>
        <v>0</v>
      </c>
      <c r="AF74" s="3">
        <f>IF(AND(VLOOKUP(AF$1,test!$A$3:$F$32,5,FALSE) - VLOOKUP($B74,test!$A$3:$G$32,6,FALSE) &gt;= (test!$B$35)/1440),1,0)</f>
        <v>0</v>
      </c>
      <c r="AG74" s="3">
        <f>IF(AND(VLOOKUP(AG$1,test!$A$3:$F$32,5,FALSE) - VLOOKUP($B74,test!$A$3:$G$32,6,FALSE) &gt;= (test!$B$35)/1440),1,0)</f>
        <v>0</v>
      </c>
    </row>
    <row r="75" spans="1:33" x14ac:dyDescent="0.25">
      <c r="A75" t="s">
        <v>60</v>
      </c>
      <c r="B75" t="s">
        <v>21</v>
      </c>
      <c r="C75">
        <v>0</v>
      </c>
      <c r="D75" s="3">
        <f>IF(AND(VLOOKUP(D$1,test!$A$3:$F$32,5,FALSE) - VLOOKUP($B75,test!$A$3:$G$32,6,FALSE) &gt;= (test!$B$35)/1440),1,0)</f>
        <v>0</v>
      </c>
      <c r="E75" s="3">
        <f>IF(AND(VLOOKUP(E$1,test!$A$3:$F$32,5,FALSE) - VLOOKUP($B75,test!$A$3:$G$32,6,FALSE) &gt;= (test!$B$35)/1440),1,0)</f>
        <v>0</v>
      </c>
      <c r="F75" s="3">
        <f>IF(AND(VLOOKUP(F$1,test!$A$3:$F$32,5,FALSE) - VLOOKUP($B75,test!$A$3:$G$32,6,FALSE) &gt;= (test!$B$35)/1440),1,0)</f>
        <v>0</v>
      </c>
      <c r="G75" s="3">
        <f>IF(AND(VLOOKUP(G$1,test!$A$3:$F$32,5,FALSE) - VLOOKUP($B75,test!$A$3:$G$32,6,FALSE) &gt;= (test!$B$35)/1440),1,0)</f>
        <v>0</v>
      </c>
      <c r="H75" s="3">
        <f>IF(AND(VLOOKUP(H$1,test!$A$3:$F$32,5,FALSE) - VLOOKUP($B75,test!$A$3:$G$32,6,FALSE) &gt;= (test!$B$35)/1440),1,0)</f>
        <v>0</v>
      </c>
      <c r="I75" s="3">
        <f>IF(AND(VLOOKUP(I$1,test!$A$3:$F$32,5,FALSE) - VLOOKUP($B75,test!$A$3:$G$32,6,FALSE) &gt;= (test!$B$35)/1440),1,0)</f>
        <v>1</v>
      </c>
      <c r="J75" s="3">
        <f>IF(AND(VLOOKUP(J$1,test!$A$3:$F$32,5,FALSE) - VLOOKUP($B75,test!$A$3:$G$32,6,FALSE) &gt;= (test!$B$35)/1440),1,0)</f>
        <v>1</v>
      </c>
      <c r="K75" s="3">
        <f>IF(AND(VLOOKUP(K$1,test!$A$3:$F$32,5,FALSE) - VLOOKUP($B75,test!$A$3:$G$32,6,FALSE) &gt;= (test!$B$35)/1440),1,0)</f>
        <v>1</v>
      </c>
      <c r="L75" s="3">
        <f>IF(AND(VLOOKUP(L$1,test!$A$3:$F$32,5,FALSE) - VLOOKUP($B75,test!$A$3:$G$32,6,FALSE) &gt;= (test!$B$35)/1440),1,0)</f>
        <v>0</v>
      </c>
      <c r="M75" s="3">
        <f>IF(AND(VLOOKUP(M$1,test!$A$3:$F$32,5,FALSE) - VLOOKUP($B75,test!$A$3:$G$32,6,FALSE) &gt;= (test!$B$35)/1440),1,0)</f>
        <v>0</v>
      </c>
      <c r="N75" s="3">
        <f>IF(AND(VLOOKUP(N$1,test!$A$3:$F$32,5,FALSE) - VLOOKUP($B75,test!$A$3:$G$32,6,FALSE) &gt;= (test!$B$35)/1440),1,0)</f>
        <v>0</v>
      </c>
      <c r="O75" s="3">
        <f>IF(AND(VLOOKUP(O$1,test!$A$3:$F$32,5,FALSE) - VLOOKUP($B75,test!$A$3:$G$32,6,FALSE) &gt;= (test!$B$35)/1440),1,0)</f>
        <v>1</v>
      </c>
      <c r="P75" s="3">
        <f>IF(AND(VLOOKUP(P$1,test!$A$3:$F$32,5,FALSE) - VLOOKUP($B75,test!$A$3:$G$32,6,FALSE) &gt;= (test!$B$35)/1440),1,0)</f>
        <v>1</v>
      </c>
      <c r="Q75" s="3">
        <f>IF(AND(VLOOKUP(Q$1,test!$A$3:$F$32,5,FALSE) - VLOOKUP($B75,test!$A$3:$G$32,6,FALSE) &gt;= (test!$B$35)/1440),1,0)</f>
        <v>0</v>
      </c>
      <c r="R75" s="3">
        <f>IF(AND(VLOOKUP(R$1,test!$A$3:$F$32,5,FALSE) - VLOOKUP($B75,test!$A$3:$G$32,6,FALSE) &gt;= (test!$B$35)/1440),1,0)</f>
        <v>0</v>
      </c>
      <c r="S75" s="3">
        <f>IF(AND(VLOOKUP(S$1,test!$A$3:$F$32,5,FALSE) - VLOOKUP($B75,test!$A$3:$G$32,6,FALSE) &gt;= (test!$B$35)/1440),1,0)</f>
        <v>0</v>
      </c>
      <c r="T75" s="3">
        <f>IF(AND(VLOOKUP(T$1,test!$A$3:$F$32,5,FALSE) - VLOOKUP($B75,test!$A$3:$G$32,6,FALSE) &gt;= (test!$B$35)/1440),1,0)</f>
        <v>0</v>
      </c>
      <c r="U75" s="3">
        <f>IF(AND(VLOOKUP(U$1,test!$A$3:$F$32,5,FALSE) - VLOOKUP($B75,test!$A$3:$G$32,6,FALSE) &gt;= (test!$B$35)/1440),1,0)</f>
        <v>0</v>
      </c>
      <c r="V75" s="3">
        <f>IF(AND(VLOOKUP(V$1,test!$A$3:$F$32,5,FALSE) - VLOOKUP($B75,test!$A$3:$G$32,6,FALSE) &gt;= (test!$B$35)/1440),1,0)</f>
        <v>0</v>
      </c>
      <c r="W75" s="3">
        <f>IF(AND(VLOOKUP(W$1,test!$A$3:$F$32,5,FALSE) - VLOOKUP($B75,test!$A$3:$G$32,6,FALSE) &gt;= (test!$B$35)/1440),1,0)</f>
        <v>0</v>
      </c>
      <c r="X75" s="3">
        <f>IF(AND(VLOOKUP(X$1,test!$A$3:$F$32,5,FALSE) - VLOOKUP($B75,test!$A$3:$G$32,6,FALSE) &gt;= (test!$B$35)/1440),1,0)</f>
        <v>1</v>
      </c>
      <c r="Y75" s="3">
        <f>IF(AND(VLOOKUP(Y$1,test!$A$3:$F$32,5,FALSE) - VLOOKUP($B75,test!$A$3:$G$32,6,FALSE) &gt;= (test!$B$35)/1440),1,0)</f>
        <v>1</v>
      </c>
      <c r="Z75" s="3">
        <f>IF(AND(VLOOKUP(Z$1,test!$A$3:$F$32,5,FALSE) - VLOOKUP($B75,test!$A$3:$G$32,6,FALSE) &gt;= (test!$B$35)/1440),1,0)</f>
        <v>0</v>
      </c>
      <c r="AA75" s="3">
        <f>IF(AND(VLOOKUP(AA$1,test!$A$3:$F$32,5,FALSE) - VLOOKUP($B75,test!$A$3:$G$32,6,FALSE) &gt;= (test!$B$35)/1440),1,0)</f>
        <v>0</v>
      </c>
      <c r="AB75" s="3">
        <f>IF(AND(VLOOKUP(AB$1,test!$A$3:$F$32,5,FALSE) - VLOOKUP($B75,test!$A$3:$G$32,6,FALSE) &gt;= (test!$B$35)/1440),1,0)</f>
        <v>0</v>
      </c>
      <c r="AC75" s="3">
        <f>IF(AND(VLOOKUP(AC$1,test!$A$3:$F$32,5,FALSE) - VLOOKUP($B75,test!$A$3:$G$32,6,FALSE) &gt;= (test!$B$35)/1440),1,0)</f>
        <v>0</v>
      </c>
      <c r="AD75" s="3">
        <f>IF(AND(VLOOKUP(AD$1,test!$A$3:$F$32,5,FALSE) - VLOOKUP($B75,test!$A$3:$G$32,6,FALSE) &gt;= (test!$B$35)/1440),1,0)</f>
        <v>1</v>
      </c>
      <c r="AE75" s="3">
        <f>IF(AND(VLOOKUP(AE$1,test!$A$3:$F$32,5,FALSE) - VLOOKUP($B75,test!$A$3:$G$32,6,FALSE) &gt;= (test!$B$35)/1440),1,0)</f>
        <v>0</v>
      </c>
      <c r="AF75" s="3">
        <f>IF(AND(VLOOKUP(AF$1,test!$A$3:$F$32,5,FALSE) - VLOOKUP($B75,test!$A$3:$G$32,6,FALSE) &gt;= (test!$B$35)/1440),1,0)</f>
        <v>0</v>
      </c>
      <c r="AG75" s="3">
        <f>IF(AND(VLOOKUP(AG$1,test!$A$3:$F$32,5,FALSE) - VLOOKUP($B75,test!$A$3:$G$32,6,FALSE) &gt;= (test!$B$35)/1440),1,0)</f>
        <v>0</v>
      </c>
    </row>
    <row r="76" spans="1:33" x14ac:dyDescent="0.25">
      <c r="A76" t="s">
        <v>60</v>
      </c>
      <c r="B76" t="s">
        <v>22</v>
      </c>
      <c r="C76">
        <v>0</v>
      </c>
      <c r="D76" s="3">
        <f>IF(AND(VLOOKUP(D$1,test!$A$3:$F$32,5,FALSE) - VLOOKUP($B76,test!$A$3:$G$32,6,FALSE) &gt;= (test!$B$35)/1440),1,0)</f>
        <v>0</v>
      </c>
      <c r="E76" s="3">
        <f>IF(AND(VLOOKUP(E$1,test!$A$3:$F$32,5,FALSE) - VLOOKUP($B76,test!$A$3:$G$32,6,FALSE) &gt;= (test!$B$35)/1440),1,0)</f>
        <v>0</v>
      </c>
      <c r="F76" s="3">
        <f>IF(AND(VLOOKUP(F$1,test!$A$3:$F$32,5,FALSE) - VLOOKUP($B76,test!$A$3:$G$32,6,FALSE) &gt;= (test!$B$35)/1440),1,0)</f>
        <v>0</v>
      </c>
      <c r="G76" s="3">
        <f>IF(AND(VLOOKUP(G$1,test!$A$3:$F$32,5,FALSE) - VLOOKUP($B76,test!$A$3:$G$32,6,FALSE) &gt;= (test!$B$35)/1440),1,0)</f>
        <v>0</v>
      </c>
      <c r="H76" s="3">
        <f>IF(AND(VLOOKUP(H$1,test!$A$3:$F$32,5,FALSE) - VLOOKUP($B76,test!$A$3:$G$32,6,FALSE) &gt;= (test!$B$35)/1440),1,0)</f>
        <v>0</v>
      </c>
      <c r="I76" s="3">
        <f>IF(AND(VLOOKUP(I$1,test!$A$3:$F$32,5,FALSE) - VLOOKUP($B76,test!$A$3:$G$32,6,FALSE) &gt;= (test!$B$35)/1440),1,0)</f>
        <v>0</v>
      </c>
      <c r="J76" s="3">
        <f>IF(AND(VLOOKUP(J$1,test!$A$3:$F$32,5,FALSE) - VLOOKUP($B76,test!$A$3:$G$32,6,FALSE) &gt;= (test!$B$35)/1440),1,0)</f>
        <v>0</v>
      </c>
      <c r="K76" s="3">
        <f>IF(AND(VLOOKUP(K$1,test!$A$3:$F$32,5,FALSE) - VLOOKUP($B76,test!$A$3:$G$32,6,FALSE) &gt;= (test!$B$35)/1440),1,0)</f>
        <v>0</v>
      </c>
      <c r="L76" s="3">
        <f>IF(AND(VLOOKUP(L$1,test!$A$3:$F$32,5,FALSE) - VLOOKUP($B76,test!$A$3:$G$32,6,FALSE) &gt;= (test!$B$35)/1440),1,0)</f>
        <v>0</v>
      </c>
      <c r="M76" s="3">
        <f>IF(AND(VLOOKUP(M$1,test!$A$3:$F$32,5,FALSE) - VLOOKUP($B76,test!$A$3:$G$32,6,FALSE) &gt;= (test!$B$35)/1440),1,0)</f>
        <v>0</v>
      </c>
      <c r="N76" s="3">
        <f>IF(AND(VLOOKUP(N$1,test!$A$3:$F$32,5,FALSE) - VLOOKUP($B76,test!$A$3:$G$32,6,FALSE) &gt;= (test!$B$35)/1440),1,0)</f>
        <v>0</v>
      </c>
      <c r="O76" s="3">
        <f>IF(AND(VLOOKUP(O$1,test!$A$3:$F$32,5,FALSE) - VLOOKUP($B76,test!$A$3:$G$32,6,FALSE) &gt;= (test!$B$35)/1440),1,0)</f>
        <v>0</v>
      </c>
      <c r="P76" s="3">
        <f>IF(AND(VLOOKUP(P$1,test!$A$3:$F$32,5,FALSE) - VLOOKUP($B76,test!$A$3:$G$32,6,FALSE) &gt;= (test!$B$35)/1440),1,0)</f>
        <v>0</v>
      </c>
      <c r="Q76" s="3">
        <f>IF(AND(VLOOKUP(Q$1,test!$A$3:$F$32,5,FALSE) - VLOOKUP($B76,test!$A$3:$G$32,6,FALSE) &gt;= (test!$B$35)/1440),1,0)</f>
        <v>0</v>
      </c>
      <c r="R76" s="3">
        <f>IF(AND(VLOOKUP(R$1,test!$A$3:$F$32,5,FALSE) - VLOOKUP($B76,test!$A$3:$G$32,6,FALSE) &gt;= (test!$B$35)/1440),1,0)</f>
        <v>0</v>
      </c>
      <c r="S76" s="3">
        <f>IF(AND(VLOOKUP(S$1,test!$A$3:$F$32,5,FALSE) - VLOOKUP($B76,test!$A$3:$G$32,6,FALSE) &gt;= (test!$B$35)/1440),1,0)</f>
        <v>0</v>
      </c>
      <c r="T76" s="3">
        <f>IF(AND(VLOOKUP(T$1,test!$A$3:$F$32,5,FALSE) - VLOOKUP($B76,test!$A$3:$G$32,6,FALSE) &gt;= (test!$B$35)/1440),1,0)</f>
        <v>0</v>
      </c>
      <c r="U76" s="3">
        <f>IF(AND(VLOOKUP(U$1,test!$A$3:$F$32,5,FALSE) - VLOOKUP($B76,test!$A$3:$G$32,6,FALSE) &gt;= (test!$B$35)/1440),1,0)</f>
        <v>0</v>
      </c>
      <c r="V76" s="3">
        <f>IF(AND(VLOOKUP(V$1,test!$A$3:$F$32,5,FALSE) - VLOOKUP($B76,test!$A$3:$G$32,6,FALSE) &gt;= (test!$B$35)/1440),1,0)</f>
        <v>0</v>
      </c>
      <c r="W76" s="3">
        <f>IF(AND(VLOOKUP(W$1,test!$A$3:$F$32,5,FALSE) - VLOOKUP($B76,test!$A$3:$G$32,6,FALSE) &gt;= (test!$B$35)/1440),1,0)</f>
        <v>0</v>
      </c>
      <c r="X76" s="3">
        <f>IF(AND(VLOOKUP(X$1,test!$A$3:$F$32,5,FALSE) - VLOOKUP($B76,test!$A$3:$G$32,6,FALSE) &gt;= (test!$B$35)/1440),1,0)</f>
        <v>0</v>
      </c>
      <c r="Y76" s="3">
        <f>IF(AND(VLOOKUP(Y$1,test!$A$3:$F$32,5,FALSE) - VLOOKUP($B76,test!$A$3:$G$32,6,FALSE) &gt;= (test!$B$35)/1440),1,0)</f>
        <v>0</v>
      </c>
      <c r="Z76" s="3">
        <f>IF(AND(VLOOKUP(Z$1,test!$A$3:$F$32,5,FALSE) - VLOOKUP($B76,test!$A$3:$G$32,6,FALSE) &gt;= (test!$B$35)/1440),1,0)</f>
        <v>0</v>
      </c>
      <c r="AA76" s="3">
        <f>IF(AND(VLOOKUP(AA$1,test!$A$3:$F$32,5,FALSE) - VLOOKUP($B76,test!$A$3:$G$32,6,FALSE) &gt;= (test!$B$35)/1440),1,0)</f>
        <v>0</v>
      </c>
      <c r="AB76" s="3">
        <f>IF(AND(VLOOKUP(AB$1,test!$A$3:$F$32,5,FALSE) - VLOOKUP($B76,test!$A$3:$G$32,6,FALSE) &gt;= (test!$B$35)/1440),1,0)</f>
        <v>0</v>
      </c>
      <c r="AC76" s="3">
        <f>IF(AND(VLOOKUP(AC$1,test!$A$3:$F$32,5,FALSE) - VLOOKUP($B76,test!$A$3:$G$32,6,FALSE) &gt;= (test!$B$35)/1440),1,0)</f>
        <v>0</v>
      </c>
      <c r="AD76" s="3">
        <f>IF(AND(VLOOKUP(AD$1,test!$A$3:$F$32,5,FALSE) - VLOOKUP($B76,test!$A$3:$G$32,6,FALSE) &gt;= (test!$B$35)/1440),1,0)</f>
        <v>0</v>
      </c>
      <c r="AE76" s="3">
        <f>IF(AND(VLOOKUP(AE$1,test!$A$3:$F$32,5,FALSE) - VLOOKUP($B76,test!$A$3:$G$32,6,FALSE) &gt;= (test!$B$35)/1440),1,0)</f>
        <v>0</v>
      </c>
      <c r="AF76" s="3">
        <f>IF(AND(VLOOKUP(AF$1,test!$A$3:$F$32,5,FALSE) - VLOOKUP($B76,test!$A$3:$G$32,6,FALSE) &gt;= (test!$B$35)/1440),1,0)</f>
        <v>0</v>
      </c>
      <c r="AG76" s="3">
        <f>IF(AND(VLOOKUP(AG$1,test!$A$3:$F$32,5,FALSE) - VLOOKUP($B76,test!$A$3:$G$32,6,FALSE) &gt;= (test!$B$35)/1440),1,0)</f>
        <v>0</v>
      </c>
    </row>
    <row r="77" spans="1:33" x14ac:dyDescent="0.25">
      <c r="A77" t="s">
        <v>60</v>
      </c>
      <c r="B77" t="s">
        <v>23</v>
      </c>
      <c r="C77">
        <v>0</v>
      </c>
      <c r="D77" s="3">
        <f>IF(AND(VLOOKUP(D$1,test!$A$3:$F$32,5,FALSE) - VLOOKUP($B77,test!$A$3:$G$32,6,FALSE) &gt;= (test!$B$35)/1440),1,0)</f>
        <v>0</v>
      </c>
      <c r="E77" s="3">
        <f>IF(AND(VLOOKUP(E$1,test!$A$3:$F$32,5,FALSE) - VLOOKUP($B77,test!$A$3:$G$32,6,FALSE) &gt;= (test!$B$35)/1440),1,0)</f>
        <v>0</v>
      </c>
      <c r="F77" s="3">
        <f>IF(AND(VLOOKUP(F$1,test!$A$3:$F$32,5,FALSE) - VLOOKUP($B77,test!$A$3:$G$32,6,FALSE) &gt;= (test!$B$35)/1440),1,0)</f>
        <v>0</v>
      </c>
      <c r="G77" s="3">
        <f>IF(AND(VLOOKUP(G$1,test!$A$3:$F$32,5,FALSE) - VLOOKUP($B77,test!$A$3:$G$32,6,FALSE) &gt;= (test!$B$35)/1440),1,0)</f>
        <v>0</v>
      </c>
      <c r="H77" s="3">
        <f>IF(AND(VLOOKUP(H$1,test!$A$3:$F$32,5,FALSE) - VLOOKUP($B77,test!$A$3:$G$32,6,FALSE) &gt;= (test!$B$35)/1440),1,0)</f>
        <v>0</v>
      </c>
      <c r="I77" s="3">
        <f>IF(AND(VLOOKUP(I$1,test!$A$3:$F$32,5,FALSE) - VLOOKUP($B77,test!$A$3:$G$32,6,FALSE) &gt;= (test!$B$35)/1440),1,0)</f>
        <v>0</v>
      </c>
      <c r="J77" s="3">
        <f>IF(AND(VLOOKUP(J$1,test!$A$3:$F$32,5,FALSE) - VLOOKUP($B77,test!$A$3:$G$32,6,FALSE) &gt;= (test!$B$35)/1440),1,0)</f>
        <v>0</v>
      </c>
      <c r="K77" s="3">
        <f>IF(AND(VLOOKUP(K$1,test!$A$3:$F$32,5,FALSE) - VLOOKUP($B77,test!$A$3:$G$32,6,FALSE) &gt;= (test!$B$35)/1440),1,0)</f>
        <v>0</v>
      </c>
      <c r="L77" s="3">
        <f>IF(AND(VLOOKUP(L$1,test!$A$3:$F$32,5,FALSE) - VLOOKUP($B77,test!$A$3:$G$32,6,FALSE) &gt;= (test!$B$35)/1440),1,0)</f>
        <v>0</v>
      </c>
      <c r="M77" s="3">
        <f>IF(AND(VLOOKUP(M$1,test!$A$3:$F$32,5,FALSE) - VLOOKUP($B77,test!$A$3:$G$32,6,FALSE) &gt;= (test!$B$35)/1440),1,0)</f>
        <v>0</v>
      </c>
      <c r="N77" s="3">
        <f>IF(AND(VLOOKUP(N$1,test!$A$3:$F$32,5,FALSE) - VLOOKUP($B77,test!$A$3:$G$32,6,FALSE) &gt;= (test!$B$35)/1440),1,0)</f>
        <v>0</v>
      </c>
      <c r="O77" s="3">
        <f>IF(AND(VLOOKUP(O$1,test!$A$3:$F$32,5,FALSE) - VLOOKUP($B77,test!$A$3:$G$32,6,FALSE) &gt;= (test!$B$35)/1440),1,0)</f>
        <v>0</v>
      </c>
      <c r="P77" s="3">
        <f>IF(AND(VLOOKUP(P$1,test!$A$3:$F$32,5,FALSE) - VLOOKUP($B77,test!$A$3:$G$32,6,FALSE) &gt;= (test!$B$35)/1440),1,0)</f>
        <v>0</v>
      </c>
      <c r="Q77" s="3">
        <f>IF(AND(VLOOKUP(Q$1,test!$A$3:$F$32,5,FALSE) - VLOOKUP($B77,test!$A$3:$G$32,6,FALSE) &gt;= (test!$B$35)/1440),1,0)</f>
        <v>0</v>
      </c>
      <c r="R77" s="3">
        <f>IF(AND(VLOOKUP(R$1,test!$A$3:$F$32,5,FALSE) - VLOOKUP($B77,test!$A$3:$G$32,6,FALSE) &gt;= (test!$B$35)/1440),1,0)</f>
        <v>0</v>
      </c>
      <c r="S77" s="3">
        <f>IF(AND(VLOOKUP(S$1,test!$A$3:$F$32,5,FALSE) - VLOOKUP($B77,test!$A$3:$G$32,6,FALSE) &gt;= (test!$B$35)/1440),1,0)</f>
        <v>0</v>
      </c>
      <c r="T77" s="3">
        <f>IF(AND(VLOOKUP(T$1,test!$A$3:$F$32,5,FALSE) - VLOOKUP($B77,test!$A$3:$G$32,6,FALSE) &gt;= (test!$B$35)/1440),1,0)</f>
        <v>0</v>
      </c>
      <c r="U77" s="3">
        <f>IF(AND(VLOOKUP(U$1,test!$A$3:$F$32,5,FALSE) - VLOOKUP($B77,test!$A$3:$G$32,6,FALSE) &gt;= (test!$B$35)/1440),1,0)</f>
        <v>0</v>
      </c>
      <c r="V77" s="3">
        <f>IF(AND(VLOOKUP(V$1,test!$A$3:$F$32,5,FALSE) - VLOOKUP($B77,test!$A$3:$G$32,6,FALSE) &gt;= (test!$B$35)/1440),1,0)</f>
        <v>0</v>
      </c>
      <c r="W77" s="3">
        <f>IF(AND(VLOOKUP(W$1,test!$A$3:$F$32,5,FALSE) - VLOOKUP($B77,test!$A$3:$G$32,6,FALSE) &gt;= (test!$B$35)/1440),1,0)</f>
        <v>0</v>
      </c>
      <c r="X77" s="3">
        <f>IF(AND(VLOOKUP(X$1,test!$A$3:$F$32,5,FALSE) - VLOOKUP($B77,test!$A$3:$G$32,6,FALSE) &gt;= (test!$B$35)/1440),1,0)</f>
        <v>0</v>
      </c>
      <c r="Y77" s="3">
        <f>IF(AND(VLOOKUP(Y$1,test!$A$3:$F$32,5,FALSE) - VLOOKUP($B77,test!$A$3:$G$32,6,FALSE) &gt;= (test!$B$35)/1440),1,0)</f>
        <v>0</v>
      </c>
      <c r="Z77" s="3">
        <f>IF(AND(VLOOKUP(Z$1,test!$A$3:$F$32,5,FALSE) - VLOOKUP($B77,test!$A$3:$G$32,6,FALSE) &gt;= (test!$B$35)/1440),1,0)</f>
        <v>0</v>
      </c>
      <c r="AA77" s="3">
        <f>IF(AND(VLOOKUP(AA$1,test!$A$3:$F$32,5,FALSE) - VLOOKUP($B77,test!$A$3:$G$32,6,FALSE) &gt;= (test!$B$35)/1440),1,0)</f>
        <v>0</v>
      </c>
      <c r="AB77" s="3">
        <f>IF(AND(VLOOKUP(AB$1,test!$A$3:$F$32,5,FALSE) - VLOOKUP($B77,test!$A$3:$G$32,6,FALSE) &gt;= (test!$B$35)/1440),1,0)</f>
        <v>0</v>
      </c>
      <c r="AC77" s="3">
        <f>IF(AND(VLOOKUP(AC$1,test!$A$3:$F$32,5,FALSE) - VLOOKUP($B77,test!$A$3:$G$32,6,FALSE) &gt;= (test!$B$35)/1440),1,0)</f>
        <v>0</v>
      </c>
      <c r="AD77" s="3">
        <f>IF(AND(VLOOKUP(AD$1,test!$A$3:$F$32,5,FALSE) - VLOOKUP($B77,test!$A$3:$G$32,6,FALSE) &gt;= (test!$B$35)/1440),1,0)</f>
        <v>0</v>
      </c>
      <c r="AE77" s="3">
        <f>IF(AND(VLOOKUP(AE$1,test!$A$3:$F$32,5,FALSE) - VLOOKUP($B77,test!$A$3:$G$32,6,FALSE) &gt;= (test!$B$35)/1440),1,0)</f>
        <v>0</v>
      </c>
      <c r="AF77" s="3">
        <f>IF(AND(VLOOKUP(AF$1,test!$A$3:$F$32,5,FALSE) - VLOOKUP($B77,test!$A$3:$G$32,6,FALSE) &gt;= (test!$B$35)/1440),1,0)</f>
        <v>0</v>
      </c>
      <c r="AG77" s="3">
        <f>IF(AND(VLOOKUP(AG$1,test!$A$3:$F$32,5,FALSE) - VLOOKUP($B77,test!$A$3:$G$32,6,FALSE) &gt;= (test!$B$35)/1440),1,0)</f>
        <v>0</v>
      </c>
    </row>
    <row r="78" spans="1:33" x14ac:dyDescent="0.25">
      <c r="A78" t="s">
        <v>60</v>
      </c>
      <c r="B78" t="s">
        <v>24</v>
      </c>
      <c r="C78">
        <v>0</v>
      </c>
      <c r="D78" s="3">
        <f>IF(AND(VLOOKUP(D$1,test!$A$3:$F$32,5,FALSE) - VLOOKUP($B78,test!$A$3:$G$32,6,FALSE) &gt;= (test!$B$35)/1440),1,0)</f>
        <v>0</v>
      </c>
      <c r="E78" s="3">
        <f>IF(AND(VLOOKUP(E$1,test!$A$3:$F$32,5,FALSE) - VLOOKUP($B78,test!$A$3:$G$32,6,FALSE) &gt;= (test!$B$35)/1440),1,0)</f>
        <v>0</v>
      </c>
      <c r="F78" s="3">
        <f>IF(AND(VLOOKUP(F$1,test!$A$3:$F$32,5,FALSE) - VLOOKUP($B78,test!$A$3:$G$32,6,FALSE) &gt;= (test!$B$35)/1440),1,0)</f>
        <v>0</v>
      </c>
      <c r="G78" s="3">
        <f>IF(AND(VLOOKUP(G$1,test!$A$3:$F$32,5,FALSE) - VLOOKUP($B78,test!$A$3:$G$32,6,FALSE) &gt;= (test!$B$35)/1440),1,0)</f>
        <v>1</v>
      </c>
      <c r="H78" s="3">
        <f>IF(AND(VLOOKUP(H$1,test!$A$3:$F$32,5,FALSE) - VLOOKUP($B78,test!$A$3:$G$32,6,FALSE) &gt;= (test!$B$35)/1440),1,0)</f>
        <v>1</v>
      </c>
      <c r="I78" s="3">
        <f>IF(AND(VLOOKUP(I$1,test!$A$3:$F$32,5,FALSE) - VLOOKUP($B78,test!$A$3:$G$32,6,FALSE) &gt;= (test!$B$35)/1440),1,0)</f>
        <v>1</v>
      </c>
      <c r="J78" s="3">
        <f>IF(AND(VLOOKUP(J$1,test!$A$3:$F$32,5,FALSE) - VLOOKUP($B78,test!$A$3:$G$32,6,FALSE) &gt;= (test!$B$35)/1440),1,0)</f>
        <v>1</v>
      </c>
      <c r="K78" s="3">
        <f>IF(AND(VLOOKUP(K$1,test!$A$3:$F$32,5,FALSE) - VLOOKUP($B78,test!$A$3:$G$32,6,FALSE) &gt;= (test!$B$35)/1440),1,0)</f>
        <v>1</v>
      </c>
      <c r="L78" s="3">
        <f>IF(AND(VLOOKUP(L$1,test!$A$3:$F$32,5,FALSE) - VLOOKUP($B78,test!$A$3:$G$32,6,FALSE) &gt;= (test!$B$35)/1440),1,0)</f>
        <v>0</v>
      </c>
      <c r="M78" s="3">
        <f>IF(AND(VLOOKUP(M$1,test!$A$3:$F$32,5,FALSE) - VLOOKUP($B78,test!$A$3:$G$32,6,FALSE) &gt;= (test!$B$35)/1440),1,0)</f>
        <v>0</v>
      </c>
      <c r="N78" s="3">
        <f>IF(AND(VLOOKUP(N$1,test!$A$3:$F$32,5,FALSE) - VLOOKUP($B78,test!$A$3:$G$32,6,FALSE) &gt;= (test!$B$35)/1440),1,0)</f>
        <v>0</v>
      </c>
      <c r="O78" s="3">
        <f>IF(AND(VLOOKUP(O$1,test!$A$3:$F$32,5,FALSE) - VLOOKUP($B78,test!$A$3:$G$32,6,FALSE) &gt;= (test!$B$35)/1440),1,0)</f>
        <v>1</v>
      </c>
      <c r="P78" s="3">
        <f>IF(AND(VLOOKUP(P$1,test!$A$3:$F$32,5,FALSE) - VLOOKUP($B78,test!$A$3:$G$32,6,FALSE) &gt;= (test!$B$35)/1440),1,0)</f>
        <v>1</v>
      </c>
      <c r="Q78" s="3">
        <f>IF(AND(VLOOKUP(Q$1,test!$A$3:$F$32,5,FALSE) - VLOOKUP($B78,test!$A$3:$G$32,6,FALSE) &gt;= (test!$B$35)/1440),1,0)</f>
        <v>0</v>
      </c>
      <c r="R78" s="3">
        <f>IF(AND(VLOOKUP(R$1,test!$A$3:$F$32,5,FALSE) - VLOOKUP($B78,test!$A$3:$G$32,6,FALSE) &gt;= (test!$B$35)/1440),1,0)</f>
        <v>0</v>
      </c>
      <c r="S78" s="3">
        <f>IF(AND(VLOOKUP(S$1,test!$A$3:$F$32,5,FALSE) - VLOOKUP($B78,test!$A$3:$G$32,6,FALSE) &gt;= (test!$B$35)/1440),1,0)</f>
        <v>0</v>
      </c>
      <c r="T78" s="3">
        <f>IF(AND(VLOOKUP(T$1,test!$A$3:$F$32,5,FALSE) - VLOOKUP($B78,test!$A$3:$G$32,6,FALSE) &gt;= (test!$B$35)/1440),1,0)</f>
        <v>0</v>
      </c>
      <c r="U78" s="3">
        <f>IF(AND(VLOOKUP(U$1,test!$A$3:$F$32,5,FALSE) - VLOOKUP($B78,test!$A$3:$G$32,6,FALSE) &gt;= (test!$B$35)/1440),1,0)</f>
        <v>0</v>
      </c>
      <c r="V78" s="3">
        <f>IF(AND(VLOOKUP(V$1,test!$A$3:$F$32,5,FALSE) - VLOOKUP($B78,test!$A$3:$G$32,6,FALSE) &gt;= (test!$B$35)/1440),1,0)</f>
        <v>1</v>
      </c>
      <c r="W78" s="3">
        <f>IF(AND(VLOOKUP(W$1,test!$A$3:$F$32,5,FALSE) - VLOOKUP($B78,test!$A$3:$G$32,6,FALSE) &gt;= (test!$B$35)/1440),1,0)</f>
        <v>1</v>
      </c>
      <c r="X78" s="3">
        <f>IF(AND(VLOOKUP(X$1,test!$A$3:$F$32,5,FALSE) - VLOOKUP($B78,test!$A$3:$G$32,6,FALSE) &gt;= (test!$B$35)/1440),1,0)</f>
        <v>1</v>
      </c>
      <c r="Y78" s="3">
        <f>IF(AND(VLOOKUP(Y$1,test!$A$3:$F$32,5,FALSE) - VLOOKUP($B78,test!$A$3:$G$32,6,FALSE) &gt;= (test!$B$35)/1440),1,0)</f>
        <v>1</v>
      </c>
      <c r="Z78" s="3">
        <f>IF(AND(VLOOKUP(Z$1,test!$A$3:$F$32,5,FALSE) - VLOOKUP($B78,test!$A$3:$G$32,6,FALSE) &gt;= (test!$B$35)/1440),1,0)</f>
        <v>0</v>
      </c>
      <c r="AA78" s="3">
        <f>IF(AND(VLOOKUP(AA$1,test!$A$3:$F$32,5,FALSE) - VLOOKUP($B78,test!$A$3:$G$32,6,FALSE) &gt;= (test!$B$35)/1440),1,0)</f>
        <v>0</v>
      </c>
      <c r="AB78" s="3">
        <f>IF(AND(VLOOKUP(AB$1,test!$A$3:$F$32,5,FALSE) - VLOOKUP($B78,test!$A$3:$G$32,6,FALSE) &gt;= (test!$B$35)/1440),1,0)</f>
        <v>1</v>
      </c>
      <c r="AC78" s="3">
        <f>IF(AND(VLOOKUP(AC$1,test!$A$3:$F$32,5,FALSE) - VLOOKUP($B78,test!$A$3:$G$32,6,FALSE) &gt;= (test!$B$35)/1440),1,0)</f>
        <v>1</v>
      </c>
      <c r="AD78" s="3">
        <f>IF(AND(VLOOKUP(AD$1,test!$A$3:$F$32,5,FALSE) - VLOOKUP($B78,test!$A$3:$G$32,6,FALSE) &gt;= (test!$B$35)/1440),1,0)</f>
        <v>1</v>
      </c>
      <c r="AE78" s="3">
        <f>IF(AND(VLOOKUP(AE$1,test!$A$3:$F$32,5,FALSE) - VLOOKUP($B78,test!$A$3:$G$32,6,FALSE) &gt;= (test!$B$35)/1440),1,0)</f>
        <v>0</v>
      </c>
      <c r="AF78" s="3">
        <f>IF(AND(VLOOKUP(AF$1,test!$A$3:$F$32,5,FALSE) - VLOOKUP($B78,test!$A$3:$G$32,6,FALSE) &gt;= (test!$B$35)/1440),1,0)</f>
        <v>1</v>
      </c>
      <c r="AG78" s="3">
        <f>IF(AND(VLOOKUP(AG$1,test!$A$3:$F$32,5,FALSE) - VLOOKUP($B78,test!$A$3:$G$32,6,FALSE) &gt;= (test!$B$35)/1440),1,0)</f>
        <v>0</v>
      </c>
    </row>
    <row r="79" spans="1:33" x14ac:dyDescent="0.25">
      <c r="A79" t="s">
        <v>60</v>
      </c>
      <c r="B79" t="s">
        <v>26</v>
      </c>
      <c r="C79">
        <v>0</v>
      </c>
      <c r="D79" s="3">
        <f>IF(AND(VLOOKUP(D$1,test!$A$3:$F$32,5,FALSE) - VLOOKUP($B79,test!$A$3:$G$32,6,FALSE) &gt;= (test!$B$35)/1440),1,0)</f>
        <v>0</v>
      </c>
      <c r="E79" s="3">
        <f>IF(AND(VLOOKUP(E$1,test!$A$3:$F$32,5,FALSE) - VLOOKUP($B79,test!$A$3:$G$32,6,FALSE) &gt;= (test!$B$35)/1440),1,0)</f>
        <v>0</v>
      </c>
      <c r="F79" s="3">
        <f>IF(AND(VLOOKUP(F$1,test!$A$3:$F$32,5,FALSE) - VLOOKUP($B79,test!$A$3:$G$32,6,FALSE) &gt;= (test!$B$35)/1440),1,0)</f>
        <v>1</v>
      </c>
      <c r="G79" s="3">
        <f>IF(AND(VLOOKUP(G$1,test!$A$3:$F$32,5,FALSE) - VLOOKUP($B79,test!$A$3:$G$32,6,FALSE) &gt;= (test!$B$35)/1440),1,0)</f>
        <v>1</v>
      </c>
      <c r="H79" s="3">
        <f>IF(AND(VLOOKUP(H$1,test!$A$3:$F$32,5,FALSE) - VLOOKUP($B79,test!$A$3:$G$32,6,FALSE) &gt;= (test!$B$35)/1440),1,0)</f>
        <v>1</v>
      </c>
      <c r="I79" s="3">
        <f>IF(AND(VLOOKUP(I$1,test!$A$3:$F$32,5,FALSE) - VLOOKUP($B79,test!$A$3:$G$32,6,FALSE) &gt;= (test!$B$35)/1440),1,0)</f>
        <v>1</v>
      </c>
      <c r="J79" s="3">
        <f>IF(AND(VLOOKUP(J$1,test!$A$3:$F$32,5,FALSE) - VLOOKUP($B79,test!$A$3:$G$32,6,FALSE) &gt;= (test!$B$35)/1440),1,0)</f>
        <v>1</v>
      </c>
      <c r="K79" s="3">
        <f>IF(AND(VLOOKUP(K$1,test!$A$3:$F$32,5,FALSE) - VLOOKUP($B79,test!$A$3:$G$32,6,FALSE) &gt;= (test!$B$35)/1440),1,0)</f>
        <v>1</v>
      </c>
      <c r="L79" s="3">
        <f>IF(AND(VLOOKUP(L$1,test!$A$3:$F$32,5,FALSE) - VLOOKUP($B79,test!$A$3:$G$32,6,FALSE) &gt;= (test!$B$35)/1440),1,0)</f>
        <v>0</v>
      </c>
      <c r="M79" s="3">
        <f>IF(AND(VLOOKUP(M$1,test!$A$3:$F$32,5,FALSE) - VLOOKUP($B79,test!$A$3:$G$32,6,FALSE) &gt;= (test!$B$35)/1440),1,0)</f>
        <v>0</v>
      </c>
      <c r="N79" s="3">
        <f>IF(AND(VLOOKUP(N$1,test!$A$3:$F$32,5,FALSE) - VLOOKUP($B79,test!$A$3:$G$32,6,FALSE) &gt;= (test!$B$35)/1440),1,0)</f>
        <v>1</v>
      </c>
      <c r="O79" s="3">
        <f>IF(AND(VLOOKUP(O$1,test!$A$3:$F$32,5,FALSE) - VLOOKUP($B79,test!$A$3:$G$32,6,FALSE) &gt;= (test!$B$35)/1440),1,0)</f>
        <v>1</v>
      </c>
      <c r="P79" s="3">
        <f>IF(AND(VLOOKUP(P$1,test!$A$3:$F$32,5,FALSE) - VLOOKUP($B79,test!$A$3:$G$32,6,FALSE) &gt;= (test!$B$35)/1440),1,0)</f>
        <v>1</v>
      </c>
      <c r="Q79" s="3">
        <f>IF(AND(VLOOKUP(Q$1,test!$A$3:$F$32,5,FALSE) - VLOOKUP($B79,test!$A$3:$G$32,6,FALSE) &gt;= (test!$B$35)/1440),1,0)</f>
        <v>0</v>
      </c>
      <c r="R79" s="3">
        <f>IF(AND(VLOOKUP(R$1,test!$A$3:$F$32,5,FALSE) - VLOOKUP($B79,test!$A$3:$G$32,6,FALSE) &gt;= (test!$B$35)/1440),1,0)</f>
        <v>0</v>
      </c>
      <c r="S79" s="3">
        <f>IF(AND(VLOOKUP(S$1,test!$A$3:$F$32,5,FALSE) - VLOOKUP($B79,test!$A$3:$G$32,6,FALSE) &gt;= (test!$B$35)/1440),1,0)</f>
        <v>0</v>
      </c>
      <c r="T79" s="3">
        <f>IF(AND(VLOOKUP(T$1,test!$A$3:$F$32,5,FALSE) - VLOOKUP($B79,test!$A$3:$G$32,6,FALSE) &gt;= (test!$B$35)/1440),1,0)</f>
        <v>0</v>
      </c>
      <c r="U79" s="3">
        <f>IF(AND(VLOOKUP(U$1,test!$A$3:$F$32,5,FALSE) - VLOOKUP($B79,test!$A$3:$G$32,6,FALSE) &gt;= (test!$B$35)/1440),1,0)</f>
        <v>1</v>
      </c>
      <c r="V79" s="3">
        <f>IF(AND(VLOOKUP(V$1,test!$A$3:$F$32,5,FALSE) - VLOOKUP($B79,test!$A$3:$G$32,6,FALSE) &gt;= (test!$B$35)/1440),1,0)</f>
        <v>1</v>
      </c>
      <c r="W79" s="3">
        <f>IF(AND(VLOOKUP(W$1,test!$A$3:$F$32,5,FALSE) - VLOOKUP($B79,test!$A$3:$G$32,6,FALSE) &gt;= (test!$B$35)/1440),1,0)</f>
        <v>1</v>
      </c>
      <c r="X79" s="3">
        <f>IF(AND(VLOOKUP(X$1,test!$A$3:$F$32,5,FALSE) - VLOOKUP($B79,test!$A$3:$G$32,6,FALSE) &gt;= (test!$B$35)/1440),1,0)</f>
        <v>1</v>
      </c>
      <c r="Y79" s="3">
        <f>IF(AND(VLOOKUP(Y$1,test!$A$3:$F$32,5,FALSE) - VLOOKUP($B79,test!$A$3:$G$32,6,FALSE) &gt;= (test!$B$35)/1440),1,0)</f>
        <v>1</v>
      </c>
      <c r="Z79" s="3">
        <f>IF(AND(VLOOKUP(Z$1,test!$A$3:$F$32,5,FALSE) - VLOOKUP($B79,test!$A$3:$G$32,6,FALSE) &gt;= (test!$B$35)/1440),1,0)</f>
        <v>0</v>
      </c>
      <c r="AA79" s="3">
        <f>IF(AND(VLOOKUP(AA$1,test!$A$3:$F$32,5,FALSE) - VLOOKUP($B79,test!$A$3:$G$32,6,FALSE) &gt;= (test!$B$35)/1440),1,0)</f>
        <v>0</v>
      </c>
      <c r="AB79" s="3">
        <f>IF(AND(VLOOKUP(AB$1,test!$A$3:$F$32,5,FALSE) - VLOOKUP($B79,test!$A$3:$G$32,6,FALSE) &gt;= (test!$B$35)/1440),1,0)</f>
        <v>1</v>
      </c>
      <c r="AC79" s="3">
        <f>IF(AND(VLOOKUP(AC$1,test!$A$3:$F$32,5,FALSE) - VLOOKUP($B79,test!$A$3:$G$32,6,FALSE) &gt;= (test!$B$35)/1440),1,0)</f>
        <v>1</v>
      </c>
      <c r="AD79" s="3">
        <f>IF(AND(VLOOKUP(AD$1,test!$A$3:$F$32,5,FALSE) - VLOOKUP($B79,test!$A$3:$G$32,6,FALSE) &gt;= (test!$B$35)/1440),1,0)</f>
        <v>1</v>
      </c>
      <c r="AE79" s="3">
        <f>IF(AND(VLOOKUP(AE$1,test!$A$3:$F$32,5,FALSE) - VLOOKUP($B79,test!$A$3:$G$32,6,FALSE) &gt;= (test!$B$35)/1440),1,0)</f>
        <v>0</v>
      </c>
      <c r="AF79" s="3">
        <f>IF(AND(VLOOKUP(AF$1,test!$A$3:$F$32,5,FALSE) - VLOOKUP($B79,test!$A$3:$G$32,6,FALSE) &gt;= (test!$B$35)/1440),1,0)</f>
        <v>1</v>
      </c>
      <c r="AG79" s="3">
        <f>IF(AND(VLOOKUP(AG$1,test!$A$3:$F$32,5,FALSE) - VLOOKUP($B79,test!$A$3:$G$32,6,FALSE) &gt;= (test!$B$35)/1440),1,0)</f>
        <v>1</v>
      </c>
    </row>
    <row r="80" spans="1:33" x14ac:dyDescent="0.25">
      <c r="A80" t="s">
        <v>60</v>
      </c>
      <c r="B80" t="s">
        <v>27</v>
      </c>
      <c r="C80">
        <v>0</v>
      </c>
      <c r="D80" s="3">
        <f>IF(AND(VLOOKUP(D$1,test!$A$3:$F$32,5,FALSE) - VLOOKUP($B80,test!$A$3:$G$32,6,FALSE) &gt;= (test!$B$35)/1440),1,0)</f>
        <v>0</v>
      </c>
      <c r="E80" s="3">
        <f>IF(AND(VLOOKUP(E$1,test!$A$3:$F$32,5,FALSE) - VLOOKUP($B80,test!$A$3:$G$32,6,FALSE) &gt;= (test!$B$35)/1440),1,0)</f>
        <v>0</v>
      </c>
      <c r="F80" s="3">
        <f>IF(AND(VLOOKUP(F$1,test!$A$3:$F$32,5,FALSE) - VLOOKUP($B80,test!$A$3:$G$32,6,FALSE) &gt;= (test!$B$35)/1440),1,0)</f>
        <v>0</v>
      </c>
      <c r="G80" s="3">
        <f>IF(AND(VLOOKUP(G$1,test!$A$3:$F$32,5,FALSE) - VLOOKUP($B80,test!$A$3:$G$32,6,FALSE) &gt;= (test!$B$35)/1440),1,0)</f>
        <v>1</v>
      </c>
      <c r="H80" s="3">
        <f>IF(AND(VLOOKUP(H$1,test!$A$3:$F$32,5,FALSE) - VLOOKUP($B80,test!$A$3:$G$32,6,FALSE) &gt;= (test!$B$35)/1440),1,0)</f>
        <v>1</v>
      </c>
      <c r="I80" s="3">
        <f>IF(AND(VLOOKUP(I$1,test!$A$3:$F$32,5,FALSE) - VLOOKUP($B80,test!$A$3:$G$32,6,FALSE) &gt;= (test!$B$35)/1440),1,0)</f>
        <v>1</v>
      </c>
      <c r="J80" s="3">
        <f>IF(AND(VLOOKUP(J$1,test!$A$3:$F$32,5,FALSE) - VLOOKUP($B80,test!$A$3:$G$32,6,FALSE) &gt;= (test!$B$35)/1440),1,0)</f>
        <v>1</v>
      </c>
      <c r="K80" s="3">
        <f>IF(AND(VLOOKUP(K$1,test!$A$3:$F$32,5,FALSE) - VLOOKUP($B80,test!$A$3:$G$32,6,FALSE) &gt;= (test!$B$35)/1440),1,0)</f>
        <v>1</v>
      </c>
      <c r="L80" s="3">
        <f>IF(AND(VLOOKUP(L$1,test!$A$3:$F$32,5,FALSE) - VLOOKUP($B80,test!$A$3:$G$32,6,FALSE) &gt;= (test!$B$35)/1440),1,0)</f>
        <v>0</v>
      </c>
      <c r="M80" s="3">
        <f>IF(AND(VLOOKUP(M$1,test!$A$3:$F$32,5,FALSE) - VLOOKUP($B80,test!$A$3:$G$32,6,FALSE) &gt;= (test!$B$35)/1440),1,0)</f>
        <v>0</v>
      </c>
      <c r="N80" s="3">
        <f>IF(AND(VLOOKUP(N$1,test!$A$3:$F$32,5,FALSE) - VLOOKUP($B80,test!$A$3:$G$32,6,FALSE) &gt;= (test!$B$35)/1440),1,0)</f>
        <v>0</v>
      </c>
      <c r="O80" s="3">
        <f>IF(AND(VLOOKUP(O$1,test!$A$3:$F$32,5,FALSE) - VLOOKUP($B80,test!$A$3:$G$32,6,FALSE) &gt;= (test!$B$35)/1440),1,0)</f>
        <v>1</v>
      </c>
      <c r="P80" s="3">
        <f>IF(AND(VLOOKUP(P$1,test!$A$3:$F$32,5,FALSE) - VLOOKUP($B80,test!$A$3:$G$32,6,FALSE) &gt;= (test!$B$35)/1440),1,0)</f>
        <v>1</v>
      </c>
      <c r="Q80" s="3">
        <f>IF(AND(VLOOKUP(Q$1,test!$A$3:$F$32,5,FALSE) - VLOOKUP($B80,test!$A$3:$G$32,6,FALSE) &gt;= (test!$B$35)/1440),1,0)</f>
        <v>0</v>
      </c>
      <c r="R80" s="3">
        <f>IF(AND(VLOOKUP(R$1,test!$A$3:$F$32,5,FALSE) - VLOOKUP($B80,test!$A$3:$G$32,6,FALSE) &gt;= (test!$B$35)/1440),1,0)</f>
        <v>0</v>
      </c>
      <c r="S80" s="3">
        <f>IF(AND(VLOOKUP(S$1,test!$A$3:$F$32,5,FALSE) - VLOOKUP($B80,test!$A$3:$G$32,6,FALSE) &gt;= (test!$B$35)/1440),1,0)</f>
        <v>0</v>
      </c>
      <c r="T80" s="3">
        <f>IF(AND(VLOOKUP(T$1,test!$A$3:$F$32,5,FALSE) - VLOOKUP($B80,test!$A$3:$G$32,6,FALSE) &gt;= (test!$B$35)/1440),1,0)</f>
        <v>0</v>
      </c>
      <c r="U80" s="3">
        <f>IF(AND(VLOOKUP(U$1,test!$A$3:$F$32,5,FALSE) - VLOOKUP($B80,test!$A$3:$G$32,6,FALSE) &gt;= (test!$B$35)/1440),1,0)</f>
        <v>0</v>
      </c>
      <c r="V80" s="3">
        <f>IF(AND(VLOOKUP(V$1,test!$A$3:$F$32,5,FALSE) - VLOOKUP($B80,test!$A$3:$G$32,6,FALSE) &gt;= (test!$B$35)/1440),1,0)</f>
        <v>1</v>
      </c>
      <c r="W80" s="3">
        <f>IF(AND(VLOOKUP(W$1,test!$A$3:$F$32,5,FALSE) - VLOOKUP($B80,test!$A$3:$G$32,6,FALSE) &gt;= (test!$B$35)/1440),1,0)</f>
        <v>1</v>
      </c>
      <c r="X80" s="3">
        <f>IF(AND(VLOOKUP(X$1,test!$A$3:$F$32,5,FALSE) - VLOOKUP($B80,test!$A$3:$G$32,6,FALSE) &gt;= (test!$B$35)/1440),1,0)</f>
        <v>1</v>
      </c>
      <c r="Y80" s="3">
        <f>IF(AND(VLOOKUP(Y$1,test!$A$3:$F$32,5,FALSE) - VLOOKUP($B80,test!$A$3:$G$32,6,FALSE) &gt;= (test!$B$35)/1440),1,0)</f>
        <v>1</v>
      </c>
      <c r="Z80" s="3">
        <f>IF(AND(VLOOKUP(Z$1,test!$A$3:$F$32,5,FALSE) - VLOOKUP($B80,test!$A$3:$G$32,6,FALSE) &gt;= (test!$B$35)/1440),1,0)</f>
        <v>0</v>
      </c>
      <c r="AA80" s="3">
        <f>IF(AND(VLOOKUP(AA$1,test!$A$3:$F$32,5,FALSE) - VLOOKUP($B80,test!$A$3:$G$32,6,FALSE) &gt;= (test!$B$35)/1440),1,0)</f>
        <v>0</v>
      </c>
      <c r="AB80" s="3">
        <f>IF(AND(VLOOKUP(AB$1,test!$A$3:$F$32,5,FALSE) - VLOOKUP($B80,test!$A$3:$G$32,6,FALSE) &gt;= (test!$B$35)/1440),1,0)</f>
        <v>1</v>
      </c>
      <c r="AC80" s="3">
        <f>IF(AND(VLOOKUP(AC$1,test!$A$3:$F$32,5,FALSE) - VLOOKUP($B80,test!$A$3:$G$32,6,FALSE) &gt;= (test!$B$35)/1440),1,0)</f>
        <v>1</v>
      </c>
      <c r="AD80" s="3">
        <f>IF(AND(VLOOKUP(AD$1,test!$A$3:$F$32,5,FALSE) - VLOOKUP($B80,test!$A$3:$G$32,6,FALSE) &gt;= (test!$B$35)/1440),1,0)</f>
        <v>1</v>
      </c>
      <c r="AE80" s="3">
        <f>IF(AND(VLOOKUP(AE$1,test!$A$3:$F$32,5,FALSE) - VLOOKUP($B80,test!$A$3:$G$32,6,FALSE) &gt;= (test!$B$35)/1440),1,0)</f>
        <v>0</v>
      </c>
      <c r="AF80" s="3">
        <f>IF(AND(VLOOKUP(AF$1,test!$A$3:$F$32,5,FALSE) - VLOOKUP($B80,test!$A$3:$G$32,6,FALSE) &gt;= (test!$B$35)/1440),1,0)</f>
        <v>1</v>
      </c>
      <c r="AG80" s="3">
        <f>IF(AND(VLOOKUP(AG$1,test!$A$3:$F$32,5,FALSE) - VLOOKUP($B80,test!$A$3:$G$32,6,FALSE) &gt;= (test!$B$35)/1440),1,0)</f>
        <v>0</v>
      </c>
    </row>
    <row r="81" spans="1:33" x14ac:dyDescent="0.25">
      <c r="A81" t="s">
        <v>60</v>
      </c>
      <c r="B81" t="s">
        <v>28</v>
      </c>
      <c r="C81">
        <v>0</v>
      </c>
      <c r="D81" s="3">
        <f>IF(AND(VLOOKUP(D$1,test!$A$3:$F$32,5,FALSE) - VLOOKUP($B81,test!$A$3:$G$32,6,FALSE) &gt;= (test!$B$35)/1440),1,0)</f>
        <v>0</v>
      </c>
      <c r="E81" s="3">
        <f>IF(AND(VLOOKUP(E$1,test!$A$3:$F$32,5,FALSE) - VLOOKUP($B81,test!$A$3:$G$32,6,FALSE) &gt;= (test!$B$35)/1440),1,0)</f>
        <v>0</v>
      </c>
      <c r="F81" s="3">
        <f>IF(AND(VLOOKUP(F$1,test!$A$3:$F$32,5,FALSE) - VLOOKUP($B81,test!$A$3:$G$32,6,FALSE) &gt;= (test!$B$35)/1440),1,0)</f>
        <v>0</v>
      </c>
      <c r="G81" s="3">
        <f>IF(AND(VLOOKUP(G$1,test!$A$3:$F$32,5,FALSE) - VLOOKUP($B81,test!$A$3:$G$32,6,FALSE) &gt;= (test!$B$35)/1440),1,0)</f>
        <v>0</v>
      </c>
      <c r="H81" s="3">
        <f>IF(AND(VLOOKUP(H$1,test!$A$3:$F$32,5,FALSE) - VLOOKUP($B81,test!$A$3:$G$32,6,FALSE) &gt;= (test!$B$35)/1440),1,0)</f>
        <v>1</v>
      </c>
      <c r="I81" s="3">
        <f>IF(AND(VLOOKUP(I$1,test!$A$3:$F$32,5,FALSE) - VLOOKUP($B81,test!$A$3:$G$32,6,FALSE) &gt;= (test!$B$35)/1440),1,0)</f>
        <v>1</v>
      </c>
      <c r="J81" s="3">
        <f>IF(AND(VLOOKUP(J$1,test!$A$3:$F$32,5,FALSE) - VLOOKUP($B81,test!$A$3:$G$32,6,FALSE) &gt;= (test!$B$35)/1440),1,0)</f>
        <v>1</v>
      </c>
      <c r="K81" s="3">
        <f>IF(AND(VLOOKUP(K$1,test!$A$3:$F$32,5,FALSE) - VLOOKUP($B81,test!$A$3:$G$32,6,FALSE) &gt;= (test!$B$35)/1440),1,0)</f>
        <v>1</v>
      </c>
      <c r="L81" s="3">
        <f>IF(AND(VLOOKUP(L$1,test!$A$3:$F$32,5,FALSE) - VLOOKUP($B81,test!$A$3:$G$32,6,FALSE) &gt;= (test!$B$35)/1440),1,0)</f>
        <v>0</v>
      </c>
      <c r="M81" s="3">
        <f>IF(AND(VLOOKUP(M$1,test!$A$3:$F$32,5,FALSE) - VLOOKUP($B81,test!$A$3:$G$32,6,FALSE) &gt;= (test!$B$35)/1440),1,0)</f>
        <v>0</v>
      </c>
      <c r="N81" s="3">
        <f>IF(AND(VLOOKUP(N$1,test!$A$3:$F$32,5,FALSE) - VLOOKUP($B81,test!$A$3:$G$32,6,FALSE) &gt;= (test!$B$35)/1440),1,0)</f>
        <v>0</v>
      </c>
      <c r="O81" s="3">
        <f>IF(AND(VLOOKUP(O$1,test!$A$3:$F$32,5,FALSE) - VLOOKUP($B81,test!$A$3:$G$32,6,FALSE) &gt;= (test!$B$35)/1440),1,0)</f>
        <v>1</v>
      </c>
      <c r="P81" s="3">
        <f>IF(AND(VLOOKUP(P$1,test!$A$3:$F$32,5,FALSE) - VLOOKUP($B81,test!$A$3:$G$32,6,FALSE) &gt;= (test!$B$35)/1440),1,0)</f>
        <v>1</v>
      </c>
      <c r="Q81" s="3">
        <f>IF(AND(VLOOKUP(Q$1,test!$A$3:$F$32,5,FALSE) - VLOOKUP($B81,test!$A$3:$G$32,6,FALSE) &gt;= (test!$B$35)/1440),1,0)</f>
        <v>0</v>
      </c>
      <c r="R81" s="3">
        <f>IF(AND(VLOOKUP(R$1,test!$A$3:$F$32,5,FALSE) - VLOOKUP($B81,test!$A$3:$G$32,6,FALSE) &gt;= (test!$B$35)/1440),1,0)</f>
        <v>0</v>
      </c>
      <c r="S81" s="3">
        <f>IF(AND(VLOOKUP(S$1,test!$A$3:$F$32,5,FALSE) - VLOOKUP($B81,test!$A$3:$G$32,6,FALSE) &gt;= (test!$B$35)/1440),1,0)</f>
        <v>0</v>
      </c>
      <c r="T81" s="3">
        <f>IF(AND(VLOOKUP(T$1,test!$A$3:$F$32,5,FALSE) - VLOOKUP($B81,test!$A$3:$G$32,6,FALSE) &gt;= (test!$B$35)/1440),1,0)</f>
        <v>0</v>
      </c>
      <c r="U81" s="3">
        <f>IF(AND(VLOOKUP(U$1,test!$A$3:$F$32,5,FALSE) - VLOOKUP($B81,test!$A$3:$G$32,6,FALSE) &gt;= (test!$B$35)/1440),1,0)</f>
        <v>0</v>
      </c>
      <c r="V81" s="3">
        <f>IF(AND(VLOOKUP(V$1,test!$A$3:$F$32,5,FALSE) - VLOOKUP($B81,test!$A$3:$G$32,6,FALSE) &gt;= (test!$B$35)/1440),1,0)</f>
        <v>0</v>
      </c>
      <c r="W81" s="3">
        <f>IF(AND(VLOOKUP(W$1,test!$A$3:$F$32,5,FALSE) - VLOOKUP($B81,test!$A$3:$G$32,6,FALSE) &gt;= (test!$B$35)/1440),1,0)</f>
        <v>1</v>
      </c>
      <c r="X81" s="3">
        <f>IF(AND(VLOOKUP(X$1,test!$A$3:$F$32,5,FALSE) - VLOOKUP($B81,test!$A$3:$G$32,6,FALSE) &gt;= (test!$B$35)/1440),1,0)</f>
        <v>1</v>
      </c>
      <c r="Y81" s="3">
        <f>IF(AND(VLOOKUP(Y$1,test!$A$3:$F$32,5,FALSE) - VLOOKUP($B81,test!$A$3:$G$32,6,FALSE) &gt;= (test!$B$35)/1440),1,0)</f>
        <v>1</v>
      </c>
      <c r="Z81" s="3">
        <f>IF(AND(VLOOKUP(Z$1,test!$A$3:$F$32,5,FALSE) - VLOOKUP($B81,test!$A$3:$G$32,6,FALSE) &gt;= (test!$B$35)/1440),1,0)</f>
        <v>0</v>
      </c>
      <c r="AA81" s="3">
        <f>IF(AND(VLOOKUP(AA$1,test!$A$3:$F$32,5,FALSE) - VLOOKUP($B81,test!$A$3:$G$32,6,FALSE) &gt;= (test!$B$35)/1440),1,0)</f>
        <v>0</v>
      </c>
      <c r="AB81" s="3">
        <f>IF(AND(VLOOKUP(AB$1,test!$A$3:$F$32,5,FALSE) - VLOOKUP($B81,test!$A$3:$G$32,6,FALSE) &gt;= (test!$B$35)/1440),1,0)</f>
        <v>0</v>
      </c>
      <c r="AC81" s="3">
        <f>IF(AND(VLOOKUP(AC$1,test!$A$3:$F$32,5,FALSE) - VLOOKUP($B81,test!$A$3:$G$32,6,FALSE) &gt;= (test!$B$35)/1440),1,0)</f>
        <v>0</v>
      </c>
      <c r="AD81" s="3">
        <f>IF(AND(VLOOKUP(AD$1,test!$A$3:$F$32,5,FALSE) - VLOOKUP($B81,test!$A$3:$G$32,6,FALSE) &gt;= (test!$B$35)/1440),1,0)</f>
        <v>1</v>
      </c>
      <c r="AE81" s="3">
        <f>IF(AND(VLOOKUP(AE$1,test!$A$3:$F$32,5,FALSE) - VLOOKUP($B81,test!$A$3:$G$32,6,FALSE) &gt;= (test!$B$35)/1440),1,0)</f>
        <v>0</v>
      </c>
      <c r="AF81" s="3">
        <f>IF(AND(VLOOKUP(AF$1,test!$A$3:$F$32,5,FALSE) - VLOOKUP($B81,test!$A$3:$G$32,6,FALSE) &gt;= (test!$B$35)/1440),1,0)</f>
        <v>0</v>
      </c>
      <c r="AG81" s="3">
        <f>IF(AND(VLOOKUP(AG$1,test!$A$3:$F$32,5,FALSE) - VLOOKUP($B81,test!$A$3:$G$32,6,FALSE) &gt;= (test!$B$35)/1440),1,0)</f>
        <v>0</v>
      </c>
    </row>
    <row r="82" spans="1:33" x14ac:dyDescent="0.25">
      <c r="A82" t="s">
        <v>60</v>
      </c>
      <c r="B82" t="s">
        <v>29</v>
      </c>
      <c r="C82">
        <v>0</v>
      </c>
      <c r="D82" s="3">
        <f>IF(AND(VLOOKUP(D$1,test!$A$3:$F$32,5,FALSE) - VLOOKUP($B82,test!$A$3:$G$32,6,FALSE) &gt;= (test!$B$35)/1440),1,0)</f>
        <v>0</v>
      </c>
      <c r="E82" s="3">
        <f>IF(AND(VLOOKUP(E$1,test!$A$3:$F$32,5,FALSE) - VLOOKUP($B82,test!$A$3:$G$32,6,FALSE) &gt;= (test!$B$35)/1440),1,0)</f>
        <v>0</v>
      </c>
      <c r="F82" s="3">
        <f>IF(AND(VLOOKUP(F$1,test!$A$3:$F$32,5,FALSE) - VLOOKUP($B82,test!$A$3:$G$32,6,FALSE) &gt;= (test!$B$35)/1440),1,0)</f>
        <v>0</v>
      </c>
      <c r="G82" s="3">
        <f>IF(AND(VLOOKUP(G$1,test!$A$3:$F$32,5,FALSE) - VLOOKUP($B82,test!$A$3:$G$32,6,FALSE) &gt;= (test!$B$35)/1440),1,0)</f>
        <v>0</v>
      </c>
      <c r="H82" s="3">
        <f>IF(AND(VLOOKUP(H$1,test!$A$3:$F$32,5,FALSE) - VLOOKUP($B82,test!$A$3:$G$32,6,FALSE) &gt;= (test!$B$35)/1440),1,0)</f>
        <v>0</v>
      </c>
      <c r="I82" s="3">
        <f>IF(AND(VLOOKUP(I$1,test!$A$3:$F$32,5,FALSE) - VLOOKUP($B82,test!$A$3:$G$32,6,FALSE) &gt;= (test!$B$35)/1440),1,0)</f>
        <v>1</v>
      </c>
      <c r="J82" s="3">
        <f>IF(AND(VLOOKUP(J$1,test!$A$3:$F$32,5,FALSE) - VLOOKUP($B82,test!$A$3:$G$32,6,FALSE) &gt;= (test!$B$35)/1440),1,0)</f>
        <v>1</v>
      </c>
      <c r="K82" s="3">
        <f>IF(AND(VLOOKUP(K$1,test!$A$3:$F$32,5,FALSE) - VLOOKUP($B82,test!$A$3:$G$32,6,FALSE) &gt;= (test!$B$35)/1440),1,0)</f>
        <v>1</v>
      </c>
      <c r="L82" s="3">
        <f>IF(AND(VLOOKUP(L$1,test!$A$3:$F$32,5,FALSE) - VLOOKUP($B82,test!$A$3:$G$32,6,FALSE) &gt;= (test!$B$35)/1440),1,0)</f>
        <v>0</v>
      </c>
      <c r="M82" s="3">
        <f>IF(AND(VLOOKUP(M$1,test!$A$3:$F$32,5,FALSE) - VLOOKUP($B82,test!$A$3:$G$32,6,FALSE) &gt;= (test!$B$35)/1440),1,0)</f>
        <v>0</v>
      </c>
      <c r="N82" s="3">
        <f>IF(AND(VLOOKUP(N$1,test!$A$3:$F$32,5,FALSE) - VLOOKUP($B82,test!$A$3:$G$32,6,FALSE) &gt;= (test!$B$35)/1440),1,0)</f>
        <v>0</v>
      </c>
      <c r="O82" s="3">
        <f>IF(AND(VLOOKUP(O$1,test!$A$3:$F$32,5,FALSE) - VLOOKUP($B82,test!$A$3:$G$32,6,FALSE) &gt;= (test!$B$35)/1440),1,0)</f>
        <v>1</v>
      </c>
      <c r="P82" s="3">
        <f>IF(AND(VLOOKUP(P$1,test!$A$3:$F$32,5,FALSE) - VLOOKUP($B82,test!$A$3:$G$32,6,FALSE) &gt;= (test!$B$35)/1440),1,0)</f>
        <v>1</v>
      </c>
      <c r="Q82" s="3">
        <f>IF(AND(VLOOKUP(Q$1,test!$A$3:$F$32,5,FALSE) - VLOOKUP($B82,test!$A$3:$G$32,6,FALSE) &gt;= (test!$B$35)/1440),1,0)</f>
        <v>0</v>
      </c>
      <c r="R82" s="3">
        <f>IF(AND(VLOOKUP(R$1,test!$A$3:$F$32,5,FALSE) - VLOOKUP($B82,test!$A$3:$G$32,6,FALSE) &gt;= (test!$B$35)/1440),1,0)</f>
        <v>0</v>
      </c>
      <c r="S82" s="3">
        <f>IF(AND(VLOOKUP(S$1,test!$A$3:$F$32,5,FALSE) - VLOOKUP($B82,test!$A$3:$G$32,6,FALSE) &gt;= (test!$B$35)/1440),1,0)</f>
        <v>0</v>
      </c>
      <c r="T82" s="3">
        <f>IF(AND(VLOOKUP(T$1,test!$A$3:$F$32,5,FALSE) - VLOOKUP($B82,test!$A$3:$G$32,6,FALSE) &gt;= (test!$B$35)/1440),1,0)</f>
        <v>0</v>
      </c>
      <c r="U82" s="3">
        <f>IF(AND(VLOOKUP(U$1,test!$A$3:$F$32,5,FALSE) - VLOOKUP($B82,test!$A$3:$G$32,6,FALSE) &gt;= (test!$B$35)/1440),1,0)</f>
        <v>0</v>
      </c>
      <c r="V82" s="3">
        <f>IF(AND(VLOOKUP(V$1,test!$A$3:$F$32,5,FALSE) - VLOOKUP($B82,test!$A$3:$G$32,6,FALSE) &gt;= (test!$B$35)/1440),1,0)</f>
        <v>0</v>
      </c>
      <c r="W82" s="3">
        <f>IF(AND(VLOOKUP(W$1,test!$A$3:$F$32,5,FALSE) - VLOOKUP($B82,test!$A$3:$G$32,6,FALSE) &gt;= (test!$B$35)/1440),1,0)</f>
        <v>0</v>
      </c>
      <c r="X82" s="3">
        <f>IF(AND(VLOOKUP(X$1,test!$A$3:$F$32,5,FALSE) - VLOOKUP($B82,test!$A$3:$G$32,6,FALSE) &gt;= (test!$B$35)/1440),1,0)</f>
        <v>1</v>
      </c>
      <c r="Y82" s="3">
        <f>IF(AND(VLOOKUP(Y$1,test!$A$3:$F$32,5,FALSE) - VLOOKUP($B82,test!$A$3:$G$32,6,FALSE) &gt;= (test!$B$35)/1440),1,0)</f>
        <v>1</v>
      </c>
      <c r="Z82" s="3">
        <f>IF(AND(VLOOKUP(Z$1,test!$A$3:$F$32,5,FALSE) - VLOOKUP($B82,test!$A$3:$G$32,6,FALSE) &gt;= (test!$B$35)/1440),1,0)</f>
        <v>0</v>
      </c>
      <c r="AA82" s="3">
        <f>IF(AND(VLOOKUP(AA$1,test!$A$3:$F$32,5,FALSE) - VLOOKUP($B82,test!$A$3:$G$32,6,FALSE) &gt;= (test!$B$35)/1440),1,0)</f>
        <v>0</v>
      </c>
      <c r="AB82" s="3">
        <f>IF(AND(VLOOKUP(AB$1,test!$A$3:$F$32,5,FALSE) - VLOOKUP($B82,test!$A$3:$G$32,6,FALSE) &gt;= (test!$B$35)/1440),1,0)</f>
        <v>0</v>
      </c>
      <c r="AC82" s="3">
        <f>IF(AND(VLOOKUP(AC$1,test!$A$3:$F$32,5,FALSE) - VLOOKUP($B82,test!$A$3:$G$32,6,FALSE) &gt;= (test!$B$35)/1440),1,0)</f>
        <v>0</v>
      </c>
      <c r="AD82" s="3">
        <f>IF(AND(VLOOKUP(AD$1,test!$A$3:$F$32,5,FALSE) - VLOOKUP($B82,test!$A$3:$G$32,6,FALSE) &gt;= (test!$B$35)/1440),1,0)</f>
        <v>1</v>
      </c>
      <c r="AE82" s="3">
        <f>IF(AND(VLOOKUP(AE$1,test!$A$3:$F$32,5,FALSE) - VLOOKUP($B82,test!$A$3:$G$32,6,FALSE) &gt;= (test!$B$35)/1440),1,0)</f>
        <v>0</v>
      </c>
      <c r="AF82" s="3">
        <f>IF(AND(VLOOKUP(AF$1,test!$A$3:$F$32,5,FALSE) - VLOOKUP($B82,test!$A$3:$G$32,6,FALSE) &gt;= (test!$B$35)/1440),1,0)</f>
        <v>0</v>
      </c>
      <c r="AG82" s="3">
        <f>IF(AND(VLOOKUP(AG$1,test!$A$3:$F$32,5,FALSE) - VLOOKUP($B82,test!$A$3:$G$32,6,FALSE) &gt;= (test!$B$35)/1440),1,0)</f>
        <v>0</v>
      </c>
    </row>
    <row r="83" spans="1:33" x14ac:dyDescent="0.25">
      <c r="A83" t="s">
        <v>60</v>
      </c>
      <c r="B83" t="s">
        <v>30</v>
      </c>
      <c r="C83">
        <v>0</v>
      </c>
      <c r="D83" s="3">
        <f>IF(AND(VLOOKUP(D$1,test!$A$3:$F$32,5,FALSE) - VLOOKUP($B83,test!$A$3:$G$32,6,FALSE) &gt;= (test!$B$35)/1440),1,0)</f>
        <v>0</v>
      </c>
      <c r="E83" s="3">
        <f>IF(AND(VLOOKUP(E$1,test!$A$3:$F$32,5,FALSE) - VLOOKUP($B83,test!$A$3:$G$32,6,FALSE) &gt;= (test!$B$35)/1440),1,0)</f>
        <v>0</v>
      </c>
      <c r="F83" s="3">
        <f>IF(AND(VLOOKUP(F$1,test!$A$3:$F$32,5,FALSE) - VLOOKUP($B83,test!$A$3:$G$32,6,FALSE) &gt;= (test!$B$35)/1440),1,0)</f>
        <v>0</v>
      </c>
      <c r="G83" s="3">
        <f>IF(AND(VLOOKUP(G$1,test!$A$3:$F$32,5,FALSE) - VLOOKUP($B83,test!$A$3:$G$32,6,FALSE) &gt;= (test!$B$35)/1440),1,0)</f>
        <v>0</v>
      </c>
      <c r="H83" s="3">
        <f>IF(AND(VLOOKUP(H$1,test!$A$3:$F$32,5,FALSE) - VLOOKUP($B83,test!$A$3:$G$32,6,FALSE) &gt;= (test!$B$35)/1440),1,0)</f>
        <v>0</v>
      </c>
      <c r="I83" s="3">
        <f>IF(AND(VLOOKUP(I$1,test!$A$3:$F$32,5,FALSE) - VLOOKUP($B83,test!$A$3:$G$32,6,FALSE) &gt;= (test!$B$35)/1440),1,0)</f>
        <v>0</v>
      </c>
      <c r="J83" s="3">
        <f>IF(AND(VLOOKUP(J$1,test!$A$3:$F$32,5,FALSE) - VLOOKUP($B83,test!$A$3:$G$32,6,FALSE) &gt;= (test!$B$35)/1440),1,0)</f>
        <v>0</v>
      </c>
      <c r="K83" s="3">
        <f>IF(AND(VLOOKUP(K$1,test!$A$3:$F$32,5,FALSE) - VLOOKUP($B83,test!$A$3:$G$32,6,FALSE) &gt;= (test!$B$35)/1440),1,0)</f>
        <v>1</v>
      </c>
      <c r="L83" s="3">
        <f>IF(AND(VLOOKUP(L$1,test!$A$3:$F$32,5,FALSE) - VLOOKUP($B83,test!$A$3:$G$32,6,FALSE) &gt;= (test!$B$35)/1440),1,0)</f>
        <v>0</v>
      </c>
      <c r="M83" s="3">
        <f>IF(AND(VLOOKUP(M$1,test!$A$3:$F$32,5,FALSE) - VLOOKUP($B83,test!$A$3:$G$32,6,FALSE) &gt;= (test!$B$35)/1440),1,0)</f>
        <v>0</v>
      </c>
      <c r="N83" s="3">
        <f>IF(AND(VLOOKUP(N$1,test!$A$3:$F$32,5,FALSE) - VLOOKUP($B83,test!$A$3:$G$32,6,FALSE) &gt;= (test!$B$35)/1440),1,0)</f>
        <v>0</v>
      </c>
      <c r="O83" s="3">
        <f>IF(AND(VLOOKUP(O$1,test!$A$3:$F$32,5,FALSE) - VLOOKUP($B83,test!$A$3:$G$32,6,FALSE) &gt;= (test!$B$35)/1440),1,0)</f>
        <v>1</v>
      </c>
      <c r="P83" s="3">
        <f>IF(AND(VLOOKUP(P$1,test!$A$3:$F$32,5,FALSE) - VLOOKUP($B83,test!$A$3:$G$32,6,FALSE) &gt;= (test!$B$35)/1440),1,0)</f>
        <v>1</v>
      </c>
      <c r="Q83" s="3">
        <f>IF(AND(VLOOKUP(Q$1,test!$A$3:$F$32,5,FALSE) - VLOOKUP($B83,test!$A$3:$G$32,6,FALSE) &gt;= (test!$B$35)/1440),1,0)</f>
        <v>0</v>
      </c>
      <c r="R83" s="3">
        <f>IF(AND(VLOOKUP(R$1,test!$A$3:$F$32,5,FALSE) - VLOOKUP($B83,test!$A$3:$G$32,6,FALSE) &gt;= (test!$B$35)/1440),1,0)</f>
        <v>0</v>
      </c>
      <c r="S83" s="3">
        <f>IF(AND(VLOOKUP(S$1,test!$A$3:$F$32,5,FALSE) - VLOOKUP($B83,test!$A$3:$G$32,6,FALSE) &gt;= (test!$B$35)/1440),1,0)</f>
        <v>0</v>
      </c>
      <c r="T83" s="3">
        <f>IF(AND(VLOOKUP(T$1,test!$A$3:$F$32,5,FALSE) - VLOOKUP($B83,test!$A$3:$G$32,6,FALSE) &gt;= (test!$B$35)/1440),1,0)</f>
        <v>0</v>
      </c>
      <c r="U83" s="3">
        <f>IF(AND(VLOOKUP(U$1,test!$A$3:$F$32,5,FALSE) - VLOOKUP($B83,test!$A$3:$G$32,6,FALSE) &gt;= (test!$B$35)/1440),1,0)</f>
        <v>0</v>
      </c>
      <c r="V83" s="3">
        <f>IF(AND(VLOOKUP(V$1,test!$A$3:$F$32,5,FALSE) - VLOOKUP($B83,test!$A$3:$G$32,6,FALSE) &gt;= (test!$B$35)/1440),1,0)</f>
        <v>0</v>
      </c>
      <c r="W83" s="3">
        <f>IF(AND(VLOOKUP(W$1,test!$A$3:$F$32,5,FALSE) - VLOOKUP($B83,test!$A$3:$G$32,6,FALSE) &gt;= (test!$B$35)/1440),1,0)</f>
        <v>0</v>
      </c>
      <c r="X83" s="3">
        <f>IF(AND(VLOOKUP(X$1,test!$A$3:$F$32,5,FALSE) - VLOOKUP($B83,test!$A$3:$G$32,6,FALSE) &gt;= (test!$B$35)/1440),1,0)</f>
        <v>0</v>
      </c>
      <c r="Y83" s="3">
        <f>IF(AND(VLOOKUP(Y$1,test!$A$3:$F$32,5,FALSE) - VLOOKUP($B83,test!$A$3:$G$32,6,FALSE) &gt;= (test!$B$35)/1440),1,0)</f>
        <v>1</v>
      </c>
      <c r="Z83" s="3">
        <f>IF(AND(VLOOKUP(Z$1,test!$A$3:$F$32,5,FALSE) - VLOOKUP($B83,test!$A$3:$G$32,6,FALSE) &gt;= (test!$B$35)/1440),1,0)</f>
        <v>0</v>
      </c>
      <c r="AA83" s="3">
        <f>IF(AND(VLOOKUP(AA$1,test!$A$3:$F$32,5,FALSE) - VLOOKUP($B83,test!$A$3:$G$32,6,FALSE) &gt;= (test!$B$35)/1440),1,0)</f>
        <v>0</v>
      </c>
      <c r="AB83" s="3">
        <f>IF(AND(VLOOKUP(AB$1,test!$A$3:$F$32,5,FALSE) - VLOOKUP($B83,test!$A$3:$G$32,6,FALSE) &gt;= (test!$B$35)/1440),1,0)</f>
        <v>0</v>
      </c>
      <c r="AC83" s="3">
        <f>IF(AND(VLOOKUP(AC$1,test!$A$3:$F$32,5,FALSE) - VLOOKUP($B83,test!$A$3:$G$32,6,FALSE) &gt;= (test!$B$35)/1440),1,0)</f>
        <v>0</v>
      </c>
      <c r="AD83" s="3">
        <f>IF(AND(VLOOKUP(AD$1,test!$A$3:$F$32,5,FALSE) - VLOOKUP($B83,test!$A$3:$G$32,6,FALSE) &gt;= (test!$B$35)/1440),1,0)</f>
        <v>0</v>
      </c>
      <c r="AE83" s="3">
        <f>IF(AND(VLOOKUP(AE$1,test!$A$3:$F$32,5,FALSE) - VLOOKUP($B83,test!$A$3:$G$32,6,FALSE) &gt;= (test!$B$35)/1440),1,0)</f>
        <v>0</v>
      </c>
      <c r="AF83" s="3">
        <f>IF(AND(VLOOKUP(AF$1,test!$A$3:$F$32,5,FALSE) - VLOOKUP($B83,test!$A$3:$G$32,6,FALSE) &gt;= (test!$B$35)/1440),1,0)</f>
        <v>0</v>
      </c>
      <c r="AG83" s="3">
        <f>IF(AND(VLOOKUP(AG$1,test!$A$3:$F$32,5,FALSE) - VLOOKUP($B83,test!$A$3:$G$32,6,FALSE) &gt;= (test!$B$35)/1440),1,0)</f>
        <v>0</v>
      </c>
    </row>
    <row r="84" spans="1:33" x14ac:dyDescent="0.25">
      <c r="A84" t="s">
        <v>60</v>
      </c>
      <c r="B84" t="s">
        <v>31</v>
      </c>
      <c r="C84">
        <v>0</v>
      </c>
      <c r="D84" s="3">
        <f>IF(AND(VLOOKUP(D$1,test!$A$3:$F$32,5,FALSE) - VLOOKUP($B84,test!$A$3:$G$32,6,FALSE) &gt;= (test!$B$35)/1440),1,0)</f>
        <v>0</v>
      </c>
      <c r="E84" s="3">
        <f>IF(AND(VLOOKUP(E$1,test!$A$3:$F$32,5,FALSE) - VLOOKUP($B84,test!$A$3:$G$32,6,FALSE) &gt;= (test!$B$35)/1440),1,0)</f>
        <v>0</v>
      </c>
      <c r="F84" s="3">
        <f>IF(AND(VLOOKUP(F$1,test!$A$3:$F$32,5,FALSE) - VLOOKUP($B84,test!$A$3:$G$32,6,FALSE) &gt;= (test!$B$35)/1440),1,0)</f>
        <v>0</v>
      </c>
      <c r="G84" s="3">
        <f>IF(AND(VLOOKUP(G$1,test!$A$3:$F$32,5,FALSE) - VLOOKUP($B84,test!$A$3:$G$32,6,FALSE) &gt;= (test!$B$35)/1440),1,0)</f>
        <v>0</v>
      </c>
      <c r="H84" s="3">
        <f>IF(AND(VLOOKUP(H$1,test!$A$3:$F$32,5,FALSE) - VLOOKUP($B84,test!$A$3:$G$32,6,FALSE) &gt;= (test!$B$35)/1440),1,0)</f>
        <v>0</v>
      </c>
      <c r="I84" s="3">
        <f>IF(AND(VLOOKUP(I$1,test!$A$3:$F$32,5,FALSE) - VLOOKUP($B84,test!$A$3:$G$32,6,FALSE) &gt;= (test!$B$35)/1440),1,0)</f>
        <v>0</v>
      </c>
      <c r="J84" s="3">
        <f>IF(AND(VLOOKUP(J$1,test!$A$3:$F$32,5,FALSE) - VLOOKUP($B84,test!$A$3:$G$32,6,FALSE) &gt;= (test!$B$35)/1440),1,0)</f>
        <v>0</v>
      </c>
      <c r="K84" s="3">
        <f>IF(AND(VLOOKUP(K$1,test!$A$3:$F$32,5,FALSE) - VLOOKUP($B84,test!$A$3:$G$32,6,FALSE) &gt;= (test!$B$35)/1440),1,0)</f>
        <v>0</v>
      </c>
      <c r="L84" s="3">
        <f>IF(AND(VLOOKUP(L$1,test!$A$3:$F$32,5,FALSE) - VLOOKUP($B84,test!$A$3:$G$32,6,FALSE) &gt;= (test!$B$35)/1440),1,0)</f>
        <v>0</v>
      </c>
      <c r="M84" s="3">
        <f>IF(AND(VLOOKUP(M$1,test!$A$3:$F$32,5,FALSE) - VLOOKUP($B84,test!$A$3:$G$32,6,FALSE) &gt;= (test!$B$35)/1440),1,0)</f>
        <v>0</v>
      </c>
      <c r="N84" s="3">
        <f>IF(AND(VLOOKUP(N$1,test!$A$3:$F$32,5,FALSE) - VLOOKUP($B84,test!$A$3:$G$32,6,FALSE) &gt;= (test!$B$35)/1440),1,0)</f>
        <v>0</v>
      </c>
      <c r="O84" s="3">
        <f>IF(AND(VLOOKUP(O$1,test!$A$3:$F$32,5,FALSE) - VLOOKUP($B84,test!$A$3:$G$32,6,FALSE) &gt;= (test!$B$35)/1440),1,0)</f>
        <v>0</v>
      </c>
      <c r="P84" s="3">
        <f>IF(AND(VLOOKUP(P$1,test!$A$3:$F$32,5,FALSE) - VLOOKUP($B84,test!$A$3:$G$32,6,FALSE) &gt;= (test!$B$35)/1440),1,0)</f>
        <v>1</v>
      </c>
      <c r="Q84" s="3">
        <f>IF(AND(VLOOKUP(Q$1,test!$A$3:$F$32,5,FALSE) - VLOOKUP($B84,test!$A$3:$G$32,6,FALSE) &gt;= (test!$B$35)/1440),1,0)</f>
        <v>0</v>
      </c>
      <c r="R84" s="3">
        <f>IF(AND(VLOOKUP(R$1,test!$A$3:$F$32,5,FALSE) - VLOOKUP($B84,test!$A$3:$G$32,6,FALSE) &gt;= (test!$B$35)/1440),1,0)</f>
        <v>0</v>
      </c>
      <c r="S84" s="3">
        <f>IF(AND(VLOOKUP(S$1,test!$A$3:$F$32,5,FALSE) - VLOOKUP($B84,test!$A$3:$G$32,6,FALSE) &gt;= (test!$B$35)/1440),1,0)</f>
        <v>0</v>
      </c>
      <c r="T84" s="3">
        <f>IF(AND(VLOOKUP(T$1,test!$A$3:$F$32,5,FALSE) - VLOOKUP($B84,test!$A$3:$G$32,6,FALSE) &gt;= (test!$B$35)/1440),1,0)</f>
        <v>0</v>
      </c>
      <c r="U84" s="3">
        <f>IF(AND(VLOOKUP(U$1,test!$A$3:$F$32,5,FALSE) - VLOOKUP($B84,test!$A$3:$G$32,6,FALSE) &gt;= (test!$B$35)/1440),1,0)</f>
        <v>0</v>
      </c>
      <c r="V84" s="3">
        <f>IF(AND(VLOOKUP(V$1,test!$A$3:$F$32,5,FALSE) - VLOOKUP($B84,test!$A$3:$G$32,6,FALSE) &gt;= (test!$B$35)/1440),1,0)</f>
        <v>0</v>
      </c>
      <c r="W84" s="3">
        <f>IF(AND(VLOOKUP(W$1,test!$A$3:$F$32,5,FALSE) - VLOOKUP($B84,test!$A$3:$G$32,6,FALSE) &gt;= (test!$B$35)/1440),1,0)</f>
        <v>0</v>
      </c>
      <c r="X84" s="3">
        <f>IF(AND(VLOOKUP(X$1,test!$A$3:$F$32,5,FALSE) - VLOOKUP($B84,test!$A$3:$G$32,6,FALSE) &gt;= (test!$B$35)/1440),1,0)</f>
        <v>0</v>
      </c>
      <c r="Y84" s="3">
        <f>IF(AND(VLOOKUP(Y$1,test!$A$3:$F$32,5,FALSE) - VLOOKUP($B84,test!$A$3:$G$32,6,FALSE) &gt;= (test!$B$35)/1440),1,0)</f>
        <v>0</v>
      </c>
      <c r="Z84" s="3">
        <f>IF(AND(VLOOKUP(Z$1,test!$A$3:$F$32,5,FALSE) - VLOOKUP($B84,test!$A$3:$G$32,6,FALSE) &gt;= (test!$B$35)/1440),1,0)</f>
        <v>0</v>
      </c>
      <c r="AA84" s="3">
        <f>IF(AND(VLOOKUP(AA$1,test!$A$3:$F$32,5,FALSE) - VLOOKUP($B84,test!$A$3:$G$32,6,FALSE) &gt;= (test!$B$35)/1440),1,0)</f>
        <v>0</v>
      </c>
      <c r="AB84" s="3">
        <f>IF(AND(VLOOKUP(AB$1,test!$A$3:$F$32,5,FALSE) - VLOOKUP($B84,test!$A$3:$G$32,6,FALSE) &gt;= (test!$B$35)/1440),1,0)</f>
        <v>0</v>
      </c>
      <c r="AC84" s="3">
        <f>IF(AND(VLOOKUP(AC$1,test!$A$3:$F$32,5,FALSE) - VLOOKUP($B84,test!$A$3:$G$32,6,FALSE) &gt;= (test!$B$35)/1440),1,0)</f>
        <v>0</v>
      </c>
      <c r="AD84" s="3">
        <f>IF(AND(VLOOKUP(AD$1,test!$A$3:$F$32,5,FALSE) - VLOOKUP($B84,test!$A$3:$G$32,6,FALSE) &gt;= (test!$B$35)/1440),1,0)</f>
        <v>0</v>
      </c>
      <c r="AE84" s="3">
        <f>IF(AND(VLOOKUP(AE$1,test!$A$3:$F$32,5,FALSE) - VLOOKUP($B84,test!$A$3:$G$32,6,FALSE) &gt;= (test!$B$35)/1440),1,0)</f>
        <v>0</v>
      </c>
      <c r="AF84" s="3">
        <f>IF(AND(VLOOKUP(AF$1,test!$A$3:$F$32,5,FALSE) - VLOOKUP($B84,test!$A$3:$G$32,6,FALSE) &gt;= (test!$B$35)/1440),1,0)</f>
        <v>0</v>
      </c>
      <c r="AG84" s="3">
        <f>IF(AND(VLOOKUP(AG$1,test!$A$3:$F$32,5,FALSE) - VLOOKUP($B84,test!$A$3:$G$32,6,FALSE) &gt;= (test!$B$35)/1440),1,0)</f>
        <v>0</v>
      </c>
    </row>
    <row r="85" spans="1:33" x14ac:dyDescent="0.25">
      <c r="A85" t="s">
        <v>60</v>
      </c>
      <c r="B85" t="s">
        <v>32</v>
      </c>
      <c r="C85">
        <v>0</v>
      </c>
      <c r="D85" s="3">
        <f>IF(AND(VLOOKUP(D$1,test!$A$3:$F$32,5,FALSE) - VLOOKUP($B85,test!$A$3:$G$32,6,FALSE) &gt;= (test!$B$35)/1440),1,0)</f>
        <v>0</v>
      </c>
      <c r="E85" s="3">
        <f>IF(AND(VLOOKUP(E$1,test!$A$3:$F$32,5,FALSE) - VLOOKUP($B85,test!$A$3:$G$32,6,FALSE) &gt;= (test!$B$35)/1440),1,0)</f>
        <v>0</v>
      </c>
      <c r="F85" s="3">
        <f>IF(AND(VLOOKUP(F$1,test!$A$3:$F$32,5,FALSE) - VLOOKUP($B85,test!$A$3:$G$32,6,FALSE) &gt;= (test!$B$35)/1440),1,0)</f>
        <v>0</v>
      </c>
      <c r="G85" s="3">
        <f>IF(AND(VLOOKUP(G$1,test!$A$3:$F$32,5,FALSE) - VLOOKUP($B85,test!$A$3:$G$32,6,FALSE) &gt;= (test!$B$35)/1440),1,0)</f>
        <v>0</v>
      </c>
      <c r="H85" s="3">
        <f>IF(AND(VLOOKUP(H$1,test!$A$3:$F$32,5,FALSE) - VLOOKUP($B85,test!$A$3:$G$32,6,FALSE) &gt;= (test!$B$35)/1440),1,0)</f>
        <v>0</v>
      </c>
      <c r="I85" s="3">
        <f>IF(AND(VLOOKUP(I$1,test!$A$3:$F$32,5,FALSE) - VLOOKUP($B85,test!$A$3:$G$32,6,FALSE) &gt;= (test!$B$35)/1440),1,0)</f>
        <v>0</v>
      </c>
      <c r="J85" s="3">
        <f>IF(AND(VLOOKUP(J$1,test!$A$3:$F$32,5,FALSE) - VLOOKUP($B85,test!$A$3:$G$32,6,FALSE) &gt;= (test!$B$35)/1440),1,0)</f>
        <v>0</v>
      </c>
      <c r="K85" s="3">
        <f>IF(AND(VLOOKUP(K$1,test!$A$3:$F$32,5,FALSE) - VLOOKUP($B85,test!$A$3:$G$32,6,FALSE) &gt;= (test!$B$35)/1440),1,0)</f>
        <v>0</v>
      </c>
      <c r="L85" s="3">
        <f>IF(AND(VLOOKUP(L$1,test!$A$3:$F$32,5,FALSE) - VLOOKUP($B85,test!$A$3:$G$32,6,FALSE) &gt;= (test!$B$35)/1440),1,0)</f>
        <v>0</v>
      </c>
      <c r="M85" s="3">
        <f>IF(AND(VLOOKUP(M$1,test!$A$3:$F$32,5,FALSE) - VLOOKUP($B85,test!$A$3:$G$32,6,FALSE) &gt;= (test!$B$35)/1440),1,0)</f>
        <v>0</v>
      </c>
      <c r="N85" s="3">
        <f>IF(AND(VLOOKUP(N$1,test!$A$3:$F$32,5,FALSE) - VLOOKUP($B85,test!$A$3:$G$32,6,FALSE) &gt;= (test!$B$35)/1440),1,0)</f>
        <v>0</v>
      </c>
      <c r="O85" s="3">
        <f>IF(AND(VLOOKUP(O$1,test!$A$3:$F$32,5,FALSE) - VLOOKUP($B85,test!$A$3:$G$32,6,FALSE) &gt;= (test!$B$35)/1440),1,0)</f>
        <v>0</v>
      </c>
      <c r="P85" s="3">
        <f>IF(AND(VLOOKUP(P$1,test!$A$3:$F$32,5,FALSE) - VLOOKUP($B85,test!$A$3:$G$32,6,FALSE) &gt;= (test!$B$35)/1440),1,0)</f>
        <v>0</v>
      </c>
      <c r="Q85" s="3">
        <f>IF(AND(VLOOKUP(Q$1,test!$A$3:$F$32,5,FALSE) - VLOOKUP($B85,test!$A$3:$G$32,6,FALSE) &gt;= (test!$B$35)/1440),1,0)</f>
        <v>0</v>
      </c>
      <c r="R85" s="3">
        <f>IF(AND(VLOOKUP(R$1,test!$A$3:$F$32,5,FALSE) - VLOOKUP($B85,test!$A$3:$G$32,6,FALSE) &gt;= (test!$B$35)/1440),1,0)</f>
        <v>0</v>
      </c>
      <c r="S85" s="3">
        <f>IF(AND(VLOOKUP(S$1,test!$A$3:$F$32,5,FALSE) - VLOOKUP($B85,test!$A$3:$G$32,6,FALSE) &gt;= (test!$B$35)/1440),1,0)</f>
        <v>0</v>
      </c>
      <c r="T85" s="3">
        <f>IF(AND(VLOOKUP(T$1,test!$A$3:$F$32,5,FALSE) - VLOOKUP($B85,test!$A$3:$G$32,6,FALSE) &gt;= (test!$B$35)/1440),1,0)</f>
        <v>0</v>
      </c>
      <c r="U85" s="3">
        <f>IF(AND(VLOOKUP(U$1,test!$A$3:$F$32,5,FALSE) - VLOOKUP($B85,test!$A$3:$G$32,6,FALSE) &gt;= (test!$B$35)/1440),1,0)</f>
        <v>0</v>
      </c>
      <c r="V85" s="3">
        <f>IF(AND(VLOOKUP(V$1,test!$A$3:$F$32,5,FALSE) - VLOOKUP($B85,test!$A$3:$G$32,6,FALSE) &gt;= (test!$B$35)/1440),1,0)</f>
        <v>0</v>
      </c>
      <c r="W85" s="3">
        <f>IF(AND(VLOOKUP(W$1,test!$A$3:$F$32,5,FALSE) - VLOOKUP($B85,test!$A$3:$G$32,6,FALSE) &gt;= (test!$B$35)/1440),1,0)</f>
        <v>0</v>
      </c>
      <c r="X85" s="3">
        <f>IF(AND(VLOOKUP(X$1,test!$A$3:$F$32,5,FALSE) - VLOOKUP($B85,test!$A$3:$G$32,6,FALSE) &gt;= (test!$B$35)/1440),1,0)</f>
        <v>0</v>
      </c>
      <c r="Y85" s="3">
        <f>IF(AND(VLOOKUP(Y$1,test!$A$3:$F$32,5,FALSE) - VLOOKUP($B85,test!$A$3:$G$32,6,FALSE) &gt;= (test!$B$35)/1440),1,0)</f>
        <v>0</v>
      </c>
      <c r="Z85" s="3">
        <f>IF(AND(VLOOKUP(Z$1,test!$A$3:$F$32,5,FALSE) - VLOOKUP($B85,test!$A$3:$G$32,6,FALSE) &gt;= (test!$B$35)/1440),1,0)</f>
        <v>0</v>
      </c>
      <c r="AA85" s="3">
        <f>IF(AND(VLOOKUP(AA$1,test!$A$3:$F$32,5,FALSE) - VLOOKUP($B85,test!$A$3:$G$32,6,FALSE) &gt;= (test!$B$35)/1440),1,0)</f>
        <v>0</v>
      </c>
      <c r="AB85" s="3">
        <f>IF(AND(VLOOKUP(AB$1,test!$A$3:$F$32,5,FALSE) - VLOOKUP($B85,test!$A$3:$G$32,6,FALSE) &gt;= (test!$B$35)/1440),1,0)</f>
        <v>0</v>
      </c>
      <c r="AC85" s="3">
        <f>IF(AND(VLOOKUP(AC$1,test!$A$3:$F$32,5,FALSE) - VLOOKUP($B85,test!$A$3:$G$32,6,FALSE) &gt;= (test!$B$35)/1440),1,0)</f>
        <v>0</v>
      </c>
      <c r="AD85" s="3">
        <f>IF(AND(VLOOKUP(AD$1,test!$A$3:$F$32,5,FALSE) - VLOOKUP($B85,test!$A$3:$G$32,6,FALSE) &gt;= (test!$B$35)/1440),1,0)</f>
        <v>0</v>
      </c>
      <c r="AE85" s="3">
        <f>IF(AND(VLOOKUP(AE$1,test!$A$3:$F$32,5,FALSE) - VLOOKUP($B85,test!$A$3:$G$32,6,FALSE) &gt;= (test!$B$35)/1440),1,0)</f>
        <v>0</v>
      </c>
      <c r="AF85" s="3">
        <f>IF(AND(VLOOKUP(AF$1,test!$A$3:$F$32,5,FALSE) - VLOOKUP($B85,test!$A$3:$G$32,6,FALSE) &gt;= (test!$B$35)/1440),1,0)</f>
        <v>0</v>
      </c>
      <c r="AG85" s="3">
        <f>IF(AND(VLOOKUP(AG$1,test!$A$3:$F$32,5,FALSE) - VLOOKUP($B85,test!$A$3:$G$32,6,FALSE) &gt;= (test!$B$35)/1440),1,0)</f>
        <v>0</v>
      </c>
    </row>
    <row r="86" spans="1:33" x14ac:dyDescent="0.25">
      <c r="A86" t="s">
        <v>60</v>
      </c>
      <c r="B86" t="s">
        <v>33</v>
      </c>
      <c r="C86">
        <v>0</v>
      </c>
      <c r="D86" s="3">
        <f>IF(AND(VLOOKUP(D$1,test!$A$3:$F$32,5,FALSE) - VLOOKUP($B86,test!$A$3:$G$32,6,FALSE) &gt;= (test!$B$35)/1440),1,0)</f>
        <v>0</v>
      </c>
      <c r="E86" s="3">
        <f>IF(AND(VLOOKUP(E$1,test!$A$3:$F$32,5,FALSE) - VLOOKUP($B86,test!$A$3:$G$32,6,FALSE) &gt;= (test!$B$35)/1440),1,0)</f>
        <v>0</v>
      </c>
      <c r="F86" s="3">
        <f>IF(AND(VLOOKUP(F$1,test!$A$3:$F$32,5,FALSE) - VLOOKUP($B86,test!$A$3:$G$32,6,FALSE) &gt;= (test!$B$35)/1440),1,0)</f>
        <v>0</v>
      </c>
      <c r="G86" s="3">
        <f>IF(AND(VLOOKUP(G$1,test!$A$3:$F$32,5,FALSE) - VLOOKUP($B86,test!$A$3:$G$32,6,FALSE) &gt;= (test!$B$35)/1440),1,0)</f>
        <v>0</v>
      </c>
      <c r="H86" s="3">
        <f>IF(AND(VLOOKUP(H$1,test!$A$3:$F$32,5,FALSE) - VLOOKUP($B86,test!$A$3:$G$32,6,FALSE) &gt;= (test!$B$35)/1440),1,0)</f>
        <v>0</v>
      </c>
      <c r="I86" s="3">
        <f>IF(AND(VLOOKUP(I$1,test!$A$3:$F$32,5,FALSE) - VLOOKUP($B86,test!$A$3:$G$32,6,FALSE) &gt;= (test!$B$35)/1440),1,0)</f>
        <v>0</v>
      </c>
      <c r="J86" s="3">
        <f>IF(AND(VLOOKUP(J$1,test!$A$3:$F$32,5,FALSE) - VLOOKUP($B86,test!$A$3:$G$32,6,FALSE) &gt;= (test!$B$35)/1440),1,0)</f>
        <v>0</v>
      </c>
      <c r="K86" s="3">
        <f>IF(AND(VLOOKUP(K$1,test!$A$3:$F$32,5,FALSE) - VLOOKUP($B86,test!$A$3:$G$32,6,FALSE) &gt;= (test!$B$35)/1440),1,0)</f>
        <v>0</v>
      </c>
      <c r="L86" s="3">
        <f>IF(AND(VLOOKUP(L$1,test!$A$3:$F$32,5,FALSE) - VLOOKUP($B86,test!$A$3:$G$32,6,FALSE) &gt;= (test!$B$35)/1440),1,0)</f>
        <v>0</v>
      </c>
      <c r="M86" s="3">
        <f>IF(AND(VLOOKUP(M$1,test!$A$3:$F$32,5,FALSE) - VLOOKUP($B86,test!$A$3:$G$32,6,FALSE) &gt;= (test!$B$35)/1440),1,0)</f>
        <v>0</v>
      </c>
      <c r="N86" s="3">
        <f>IF(AND(VLOOKUP(N$1,test!$A$3:$F$32,5,FALSE) - VLOOKUP($B86,test!$A$3:$G$32,6,FALSE) &gt;= (test!$B$35)/1440),1,0)</f>
        <v>0</v>
      </c>
      <c r="O86" s="3">
        <f>IF(AND(VLOOKUP(O$1,test!$A$3:$F$32,5,FALSE) - VLOOKUP($B86,test!$A$3:$G$32,6,FALSE) &gt;= (test!$B$35)/1440),1,0)</f>
        <v>0</v>
      </c>
      <c r="P86" s="3">
        <f>IF(AND(VLOOKUP(P$1,test!$A$3:$F$32,5,FALSE) - VLOOKUP($B86,test!$A$3:$G$32,6,FALSE) &gt;= (test!$B$35)/1440),1,0)</f>
        <v>0</v>
      </c>
      <c r="Q86" s="3">
        <f>IF(AND(VLOOKUP(Q$1,test!$A$3:$F$32,5,FALSE) - VLOOKUP($B86,test!$A$3:$G$32,6,FALSE) &gt;= (test!$B$35)/1440),1,0)</f>
        <v>0</v>
      </c>
      <c r="R86" s="3">
        <f>IF(AND(VLOOKUP(R$1,test!$A$3:$F$32,5,FALSE) - VLOOKUP($B86,test!$A$3:$G$32,6,FALSE) &gt;= (test!$B$35)/1440),1,0)</f>
        <v>0</v>
      </c>
      <c r="S86" s="3">
        <f>IF(AND(VLOOKUP(S$1,test!$A$3:$F$32,5,FALSE) - VLOOKUP($B86,test!$A$3:$G$32,6,FALSE) &gt;= (test!$B$35)/1440),1,0)</f>
        <v>0</v>
      </c>
      <c r="T86" s="3">
        <f>IF(AND(VLOOKUP(T$1,test!$A$3:$F$32,5,FALSE) - VLOOKUP($B86,test!$A$3:$G$32,6,FALSE) &gt;= (test!$B$35)/1440),1,0)</f>
        <v>0</v>
      </c>
      <c r="U86" s="3">
        <f>IF(AND(VLOOKUP(U$1,test!$A$3:$F$32,5,FALSE) - VLOOKUP($B86,test!$A$3:$G$32,6,FALSE) &gt;= (test!$B$35)/1440),1,0)</f>
        <v>0</v>
      </c>
      <c r="V86" s="3">
        <f>IF(AND(VLOOKUP(V$1,test!$A$3:$F$32,5,FALSE) - VLOOKUP($B86,test!$A$3:$G$32,6,FALSE) &gt;= (test!$B$35)/1440),1,0)</f>
        <v>0</v>
      </c>
      <c r="W86" s="3">
        <f>IF(AND(VLOOKUP(W$1,test!$A$3:$F$32,5,FALSE) - VLOOKUP($B86,test!$A$3:$G$32,6,FALSE) &gt;= (test!$B$35)/1440),1,0)</f>
        <v>0</v>
      </c>
      <c r="X86" s="3">
        <f>IF(AND(VLOOKUP(X$1,test!$A$3:$F$32,5,FALSE) - VLOOKUP($B86,test!$A$3:$G$32,6,FALSE) &gt;= (test!$B$35)/1440),1,0)</f>
        <v>0</v>
      </c>
      <c r="Y86" s="3">
        <f>IF(AND(VLOOKUP(Y$1,test!$A$3:$F$32,5,FALSE) - VLOOKUP($B86,test!$A$3:$G$32,6,FALSE) &gt;= (test!$B$35)/1440),1,0)</f>
        <v>0</v>
      </c>
      <c r="Z86" s="3">
        <f>IF(AND(VLOOKUP(Z$1,test!$A$3:$F$32,5,FALSE) - VLOOKUP($B86,test!$A$3:$G$32,6,FALSE) &gt;= (test!$B$35)/1440),1,0)</f>
        <v>0</v>
      </c>
      <c r="AA86" s="3">
        <f>IF(AND(VLOOKUP(AA$1,test!$A$3:$F$32,5,FALSE) - VLOOKUP($B86,test!$A$3:$G$32,6,FALSE) &gt;= (test!$B$35)/1440),1,0)</f>
        <v>0</v>
      </c>
      <c r="AB86" s="3">
        <f>IF(AND(VLOOKUP(AB$1,test!$A$3:$F$32,5,FALSE) - VLOOKUP($B86,test!$A$3:$G$32,6,FALSE) &gt;= (test!$B$35)/1440),1,0)</f>
        <v>0</v>
      </c>
      <c r="AC86" s="3">
        <f>IF(AND(VLOOKUP(AC$1,test!$A$3:$F$32,5,FALSE) - VLOOKUP($B86,test!$A$3:$G$32,6,FALSE) &gt;= (test!$B$35)/1440),1,0)</f>
        <v>0</v>
      </c>
      <c r="AD86" s="3">
        <f>IF(AND(VLOOKUP(AD$1,test!$A$3:$F$32,5,FALSE) - VLOOKUP($B86,test!$A$3:$G$32,6,FALSE) &gt;= (test!$B$35)/1440),1,0)</f>
        <v>0</v>
      </c>
      <c r="AE86" s="3">
        <f>IF(AND(VLOOKUP(AE$1,test!$A$3:$F$32,5,FALSE) - VLOOKUP($B86,test!$A$3:$G$32,6,FALSE) &gt;= (test!$B$35)/1440),1,0)</f>
        <v>0</v>
      </c>
      <c r="AF86" s="3">
        <f>IF(AND(VLOOKUP(AF$1,test!$A$3:$F$32,5,FALSE) - VLOOKUP($B86,test!$A$3:$G$32,6,FALSE) &gt;= (test!$B$35)/1440),1,0)</f>
        <v>0</v>
      </c>
      <c r="AG86" s="3">
        <f>IF(AND(VLOOKUP(AG$1,test!$A$3:$F$32,5,FALSE) - VLOOKUP($B86,test!$A$3:$G$32,6,FALSE) &gt;= (test!$B$35)/1440),1,0)</f>
        <v>0</v>
      </c>
    </row>
    <row r="87" spans="1:33" x14ac:dyDescent="0.25">
      <c r="A87" t="s">
        <v>60</v>
      </c>
      <c r="B87" t="s">
        <v>34</v>
      </c>
      <c r="C87">
        <v>0</v>
      </c>
      <c r="D87" s="3">
        <f>IF(AND(VLOOKUP(D$1,test!$A$3:$F$32,5,FALSE) - VLOOKUP($B87,test!$A$3:$G$32,6,FALSE) &gt;= (test!$B$35)/1440),1,0)</f>
        <v>0</v>
      </c>
      <c r="E87" s="3">
        <f>IF(AND(VLOOKUP(E$1,test!$A$3:$F$32,5,FALSE) - VLOOKUP($B87,test!$A$3:$G$32,6,FALSE) &gt;= (test!$B$35)/1440),1,0)</f>
        <v>0</v>
      </c>
      <c r="F87" s="3">
        <f>IF(AND(VLOOKUP(F$1,test!$A$3:$F$32,5,FALSE) - VLOOKUP($B87,test!$A$3:$G$32,6,FALSE) &gt;= (test!$B$35)/1440),1,0)</f>
        <v>1</v>
      </c>
      <c r="G87" s="3">
        <f>IF(AND(VLOOKUP(G$1,test!$A$3:$F$32,5,FALSE) - VLOOKUP($B87,test!$A$3:$G$32,6,FALSE) &gt;= (test!$B$35)/1440),1,0)</f>
        <v>1</v>
      </c>
      <c r="H87" s="3">
        <f>IF(AND(VLOOKUP(H$1,test!$A$3:$F$32,5,FALSE) - VLOOKUP($B87,test!$A$3:$G$32,6,FALSE) &gt;= (test!$B$35)/1440),1,0)</f>
        <v>1</v>
      </c>
      <c r="I87" s="3">
        <f>IF(AND(VLOOKUP(I$1,test!$A$3:$F$32,5,FALSE) - VLOOKUP($B87,test!$A$3:$G$32,6,FALSE) &gt;= (test!$B$35)/1440),1,0)</f>
        <v>1</v>
      </c>
      <c r="J87" s="3">
        <f>IF(AND(VLOOKUP(J$1,test!$A$3:$F$32,5,FALSE) - VLOOKUP($B87,test!$A$3:$G$32,6,FALSE) &gt;= (test!$B$35)/1440),1,0)</f>
        <v>1</v>
      </c>
      <c r="K87" s="3">
        <f>IF(AND(VLOOKUP(K$1,test!$A$3:$F$32,5,FALSE) - VLOOKUP($B87,test!$A$3:$G$32,6,FALSE) &gt;= (test!$B$35)/1440),1,0)</f>
        <v>1</v>
      </c>
      <c r="L87" s="3">
        <f>IF(AND(VLOOKUP(L$1,test!$A$3:$F$32,5,FALSE) - VLOOKUP($B87,test!$A$3:$G$32,6,FALSE) &gt;= (test!$B$35)/1440),1,0)</f>
        <v>0</v>
      </c>
      <c r="M87" s="3">
        <f>IF(AND(VLOOKUP(M$1,test!$A$3:$F$32,5,FALSE) - VLOOKUP($B87,test!$A$3:$G$32,6,FALSE) &gt;= (test!$B$35)/1440),1,0)</f>
        <v>0</v>
      </c>
      <c r="N87" s="3">
        <f>IF(AND(VLOOKUP(N$1,test!$A$3:$F$32,5,FALSE) - VLOOKUP($B87,test!$A$3:$G$32,6,FALSE) &gt;= (test!$B$35)/1440),1,0)</f>
        <v>1</v>
      </c>
      <c r="O87" s="3">
        <f>IF(AND(VLOOKUP(O$1,test!$A$3:$F$32,5,FALSE) - VLOOKUP($B87,test!$A$3:$G$32,6,FALSE) &gt;= (test!$B$35)/1440),1,0)</f>
        <v>1</v>
      </c>
      <c r="P87" s="3">
        <f>IF(AND(VLOOKUP(P$1,test!$A$3:$F$32,5,FALSE) - VLOOKUP($B87,test!$A$3:$G$32,6,FALSE) &gt;= (test!$B$35)/1440),1,0)</f>
        <v>1</v>
      </c>
      <c r="Q87" s="3">
        <f>IF(AND(VLOOKUP(Q$1,test!$A$3:$F$32,5,FALSE) - VLOOKUP($B87,test!$A$3:$G$32,6,FALSE) &gt;= (test!$B$35)/1440),1,0)</f>
        <v>0</v>
      </c>
      <c r="R87" s="3">
        <f>IF(AND(VLOOKUP(R$1,test!$A$3:$F$32,5,FALSE) - VLOOKUP($B87,test!$A$3:$G$32,6,FALSE) &gt;= (test!$B$35)/1440),1,0)</f>
        <v>0</v>
      </c>
      <c r="S87" s="3">
        <f>IF(AND(VLOOKUP(S$1,test!$A$3:$F$32,5,FALSE) - VLOOKUP($B87,test!$A$3:$G$32,6,FALSE) &gt;= (test!$B$35)/1440),1,0)</f>
        <v>0</v>
      </c>
      <c r="T87" s="3">
        <f>IF(AND(VLOOKUP(T$1,test!$A$3:$F$32,5,FALSE) - VLOOKUP($B87,test!$A$3:$G$32,6,FALSE) &gt;= (test!$B$35)/1440),1,0)</f>
        <v>0</v>
      </c>
      <c r="U87" s="3">
        <f>IF(AND(VLOOKUP(U$1,test!$A$3:$F$32,5,FALSE) - VLOOKUP($B87,test!$A$3:$G$32,6,FALSE) &gt;= (test!$B$35)/1440),1,0)</f>
        <v>1</v>
      </c>
      <c r="V87" s="3">
        <f>IF(AND(VLOOKUP(V$1,test!$A$3:$F$32,5,FALSE) - VLOOKUP($B87,test!$A$3:$G$32,6,FALSE) &gt;= (test!$B$35)/1440),1,0)</f>
        <v>1</v>
      </c>
      <c r="W87" s="3">
        <f>IF(AND(VLOOKUP(W$1,test!$A$3:$F$32,5,FALSE) - VLOOKUP($B87,test!$A$3:$G$32,6,FALSE) &gt;= (test!$B$35)/1440),1,0)</f>
        <v>1</v>
      </c>
      <c r="X87" s="3">
        <f>IF(AND(VLOOKUP(X$1,test!$A$3:$F$32,5,FALSE) - VLOOKUP($B87,test!$A$3:$G$32,6,FALSE) &gt;= (test!$B$35)/1440),1,0)</f>
        <v>1</v>
      </c>
      <c r="Y87" s="3">
        <f>IF(AND(VLOOKUP(Y$1,test!$A$3:$F$32,5,FALSE) - VLOOKUP($B87,test!$A$3:$G$32,6,FALSE) &gt;= (test!$B$35)/1440),1,0)</f>
        <v>1</v>
      </c>
      <c r="Z87" s="3">
        <f>IF(AND(VLOOKUP(Z$1,test!$A$3:$F$32,5,FALSE) - VLOOKUP($B87,test!$A$3:$G$32,6,FALSE) &gt;= (test!$B$35)/1440),1,0)</f>
        <v>0</v>
      </c>
      <c r="AA87" s="3">
        <f>IF(AND(VLOOKUP(AA$1,test!$A$3:$F$32,5,FALSE) - VLOOKUP($B87,test!$A$3:$G$32,6,FALSE) &gt;= (test!$B$35)/1440),1,0)</f>
        <v>0</v>
      </c>
      <c r="AB87" s="3">
        <f>IF(AND(VLOOKUP(AB$1,test!$A$3:$F$32,5,FALSE) - VLOOKUP($B87,test!$A$3:$G$32,6,FALSE) &gt;= (test!$B$35)/1440),1,0)</f>
        <v>1</v>
      </c>
      <c r="AC87" s="3">
        <f>IF(AND(VLOOKUP(AC$1,test!$A$3:$F$32,5,FALSE) - VLOOKUP($B87,test!$A$3:$G$32,6,FALSE) &gt;= (test!$B$35)/1440),1,0)</f>
        <v>1</v>
      </c>
      <c r="AD87" s="3">
        <f>IF(AND(VLOOKUP(AD$1,test!$A$3:$F$32,5,FALSE) - VLOOKUP($B87,test!$A$3:$G$32,6,FALSE) &gt;= (test!$B$35)/1440),1,0)</f>
        <v>1</v>
      </c>
      <c r="AE87" s="3">
        <f>IF(AND(VLOOKUP(AE$1,test!$A$3:$F$32,5,FALSE) - VLOOKUP($B87,test!$A$3:$G$32,6,FALSE) &gt;= (test!$B$35)/1440),1,0)</f>
        <v>0</v>
      </c>
      <c r="AF87" s="3">
        <f>IF(AND(VLOOKUP(AF$1,test!$A$3:$F$32,5,FALSE) - VLOOKUP($B87,test!$A$3:$G$32,6,FALSE) &gt;= (test!$B$35)/1440),1,0)</f>
        <v>1</v>
      </c>
      <c r="AG87" s="3">
        <f>IF(AND(VLOOKUP(AG$1,test!$A$3:$F$32,5,FALSE) - VLOOKUP($B87,test!$A$3:$G$32,6,FALSE) &gt;= (test!$B$35)/1440),1,0)</f>
        <v>1</v>
      </c>
    </row>
    <row r="88" spans="1:33" x14ac:dyDescent="0.25">
      <c r="A88" t="s">
        <v>60</v>
      </c>
      <c r="B88" t="s">
        <v>35</v>
      </c>
      <c r="C88">
        <v>0</v>
      </c>
      <c r="D88" s="3">
        <f>IF(AND(VLOOKUP(D$1,test!$A$3:$F$32,5,FALSE) - VLOOKUP($B88,test!$A$3:$G$32,6,FALSE) &gt;= (test!$B$35)/1440),1,0)</f>
        <v>0</v>
      </c>
      <c r="E88" s="3">
        <f>IF(AND(VLOOKUP(E$1,test!$A$3:$F$32,5,FALSE) - VLOOKUP($B88,test!$A$3:$G$32,6,FALSE) &gt;= (test!$B$35)/1440),1,0)</f>
        <v>0</v>
      </c>
      <c r="F88" s="3">
        <f>IF(AND(VLOOKUP(F$1,test!$A$3:$F$32,5,FALSE) - VLOOKUP($B88,test!$A$3:$G$32,6,FALSE) &gt;= (test!$B$35)/1440),1,0)</f>
        <v>0</v>
      </c>
      <c r="G88" s="3">
        <f>IF(AND(VLOOKUP(G$1,test!$A$3:$F$32,5,FALSE) - VLOOKUP($B88,test!$A$3:$G$32,6,FALSE) &gt;= (test!$B$35)/1440),1,0)</f>
        <v>0</v>
      </c>
      <c r="H88" s="3">
        <f>IF(AND(VLOOKUP(H$1,test!$A$3:$F$32,5,FALSE) - VLOOKUP($B88,test!$A$3:$G$32,6,FALSE) &gt;= (test!$B$35)/1440),1,0)</f>
        <v>1</v>
      </c>
      <c r="I88" s="3">
        <f>IF(AND(VLOOKUP(I$1,test!$A$3:$F$32,5,FALSE) - VLOOKUP($B88,test!$A$3:$G$32,6,FALSE) &gt;= (test!$B$35)/1440),1,0)</f>
        <v>1</v>
      </c>
      <c r="J88" s="3">
        <f>IF(AND(VLOOKUP(J$1,test!$A$3:$F$32,5,FALSE) - VLOOKUP($B88,test!$A$3:$G$32,6,FALSE) &gt;= (test!$B$35)/1440),1,0)</f>
        <v>1</v>
      </c>
      <c r="K88" s="3">
        <f>IF(AND(VLOOKUP(K$1,test!$A$3:$F$32,5,FALSE) - VLOOKUP($B88,test!$A$3:$G$32,6,FALSE) &gt;= (test!$B$35)/1440),1,0)</f>
        <v>1</v>
      </c>
      <c r="L88" s="3">
        <f>IF(AND(VLOOKUP(L$1,test!$A$3:$F$32,5,FALSE) - VLOOKUP($B88,test!$A$3:$G$32,6,FALSE) &gt;= (test!$B$35)/1440),1,0)</f>
        <v>0</v>
      </c>
      <c r="M88" s="3">
        <f>IF(AND(VLOOKUP(M$1,test!$A$3:$F$32,5,FALSE) - VLOOKUP($B88,test!$A$3:$G$32,6,FALSE) &gt;= (test!$B$35)/1440),1,0)</f>
        <v>0</v>
      </c>
      <c r="N88" s="3">
        <f>IF(AND(VLOOKUP(N$1,test!$A$3:$F$32,5,FALSE) - VLOOKUP($B88,test!$A$3:$G$32,6,FALSE) &gt;= (test!$B$35)/1440),1,0)</f>
        <v>0</v>
      </c>
      <c r="O88" s="3">
        <f>IF(AND(VLOOKUP(O$1,test!$A$3:$F$32,5,FALSE) - VLOOKUP($B88,test!$A$3:$G$32,6,FALSE) &gt;= (test!$B$35)/1440),1,0)</f>
        <v>1</v>
      </c>
      <c r="P88" s="3">
        <f>IF(AND(VLOOKUP(P$1,test!$A$3:$F$32,5,FALSE) - VLOOKUP($B88,test!$A$3:$G$32,6,FALSE) &gt;= (test!$B$35)/1440),1,0)</f>
        <v>1</v>
      </c>
      <c r="Q88" s="3">
        <f>IF(AND(VLOOKUP(Q$1,test!$A$3:$F$32,5,FALSE) - VLOOKUP($B88,test!$A$3:$G$32,6,FALSE) &gt;= (test!$B$35)/1440),1,0)</f>
        <v>0</v>
      </c>
      <c r="R88" s="3">
        <f>IF(AND(VLOOKUP(R$1,test!$A$3:$F$32,5,FALSE) - VLOOKUP($B88,test!$A$3:$G$32,6,FALSE) &gt;= (test!$B$35)/1440),1,0)</f>
        <v>0</v>
      </c>
      <c r="S88" s="3">
        <f>IF(AND(VLOOKUP(S$1,test!$A$3:$F$32,5,FALSE) - VLOOKUP($B88,test!$A$3:$G$32,6,FALSE) &gt;= (test!$B$35)/1440),1,0)</f>
        <v>0</v>
      </c>
      <c r="T88" s="3">
        <f>IF(AND(VLOOKUP(T$1,test!$A$3:$F$32,5,FALSE) - VLOOKUP($B88,test!$A$3:$G$32,6,FALSE) &gt;= (test!$B$35)/1440),1,0)</f>
        <v>0</v>
      </c>
      <c r="U88" s="3">
        <f>IF(AND(VLOOKUP(U$1,test!$A$3:$F$32,5,FALSE) - VLOOKUP($B88,test!$A$3:$G$32,6,FALSE) &gt;= (test!$B$35)/1440),1,0)</f>
        <v>0</v>
      </c>
      <c r="V88" s="3">
        <f>IF(AND(VLOOKUP(V$1,test!$A$3:$F$32,5,FALSE) - VLOOKUP($B88,test!$A$3:$G$32,6,FALSE) &gt;= (test!$B$35)/1440),1,0)</f>
        <v>0</v>
      </c>
      <c r="W88" s="3">
        <f>IF(AND(VLOOKUP(W$1,test!$A$3:$F$32,5,FALSE) - VLOOKUP($B88,test!$A$3:$G$32,6,FALSE) &gt;= (test!$B$35)/1440),1,0)</f>
        <v>1</v>
      </c>
      <c r="X88" s="3">
        <f>IF(AND(VLOOKUP(X$1,test!$A$3:$F$32,5,FALSE) - VLOOKUP($B88,test!$A$3:$G$32,6,FALSE) &gt;= (test!$B$35)/1440),1,0)</f>
        <v>1</v>
      </c>
      <c r="Y88" s="3">
        <f>IF(AND(VLOOKUP(Y$1,test!$A$3:$F$32,5,FALSE) - VLOOKUP($B88,test!$A$3:$G$32,6,FALSE) &gt;= (test!$B$35)/1440),1,0)</f>
        <v>1</v>
      </c>
      <c r="Z88" s="3">
        <f>IF(AND(VLOOKUP(Z$1,test!$A$3:$F$32,5,FALSE) - VLOOKUP($B88,test!$A$3:$G$32,6,FALSE) &gt;= (test!$B$35)/1440),1,0)</f>
        <v>0</v>
      </c>
      <c r="AA88" s="3">
        <f>IF(AND(VLOOKUP(AA$1,test!$A$3:$F$32,5,FALSE) - VLOOKUP($B88,test!$A$3:$G$32,6,FALSE) &gt;= (test!$B$35)/1440),1,0)</f>
        <v>0</v>
      </c>
      <c r="AB88" s="3">
        <f>IF(AND(VLOOKUP(AB$1,test!$A$3:$F$32,5,FALSE) - VLOOKUP($B88,test!$A$3:$G$32,6,FALSE) &gt;= (test!$B$35)/1440),1,0)</f>
        <v>0</v>
      </c>
      <c r="AC88" s="3">
        <f>IF(AND(VLOOKUP(AC$1,test!$A$3:$F$32,5,FALSE) - VLOOKUP($B88,test!$A$3:$G$32,6,FALSE) &gt;= (test!$B$35)/1440),1,0)</f>
        <v>0</v>
      </c>
      <c r="AD88" s="3">
        <f>IF(AND(VLOOKUP(AD$1,test!$A$3:$F$32,5,FALSE) - VLOOKUP($B88,test!$A$3:$G$32,6,FALSE) &gt;= (test!$B$35)/1440),1,0)</f>
        <v>1</v>
      </c>
      <c r="AE88" s="3">
        <f>IF(AND(VLOOKUP(AE$1,test!$A$3:$F$32,5,FALSE) - VLOOKUP($B88,test!$A$3:$G$32,6,FALSE) &gt;= (test!$B$35)/1440),1,0)</f>
        <v>0</v>
      </c>
      <c r="AF88" s="3">
        <f>IF(AND(VLOOKUP(AF$1,test!$A$3:$F$32,5,FALSE) - VLOOKUP($B88,test!$A$3:$G$32,6,FALSE) &gt;= (test!$B$35)/1440),1,0)</f>
        <v>0</v>
      </c>
      <c r="AG88" s="3">
        <f>IF(AND(VLOOKUP(AG$1,test!$A$3:$F$32,5,FALSE) - VLOOKUP($B88,test!$A$3:$G$32,6,FALSE) &gt;= (test!$B$35)/1440),1,0)</f>
        <v>0</v>
      </c>
    </row>
    <row r="89" spans="1:33" x14ac:dyDescent="0.25">
      <c r="A89" t="s">
        <v>60</v>
      </c>
      <c r="B89" t="s">
        <v>36</v>
      </c>
      <c r="C89">
        <v>0</v>
      </c>
      <c r="D89" s="3">
        <f>IF(AND(VLOOKUP(D$1,test!$A$3:$F$32,5,FALSE) - VLOOKUP($B89,test!$A$3:$G$32,6,FALSE) &gt;= (test!$B$35)/1440),1,0)</f>
        <v>0</v>
      </c>
      <c r="E89" s="3">
        <f>IF(AND(VLOOKUP(E$1,test!$A$3:$F$32,5,FALSE) - VLOOKUP($B89,test!$A$3:$G$32,6,FALSE) &gt;= (test!$B$35)/1440),1,0)</f>
        <v>0</v>
      </c>
      <c r="F89" s="3">
        <f>IF(AND(VLOOKUP(F$1,test!$A$3:$F$32,5,FALSE) - VLOOKUP($B89,test!$A$3:$G$32,6,FALSE) &gt;= (test!$B$35)/1440),1,0)</f>
        <v>0</v>
      </c>
      <c r="G89" s="3">
        <f>IF(AND(VLOOKUP(G$1,test!$A$3:$F$32,5,FALSE) - VLOOKUP($B89,test!$A$3:$G$32,6,FALSE) &gt;= (test!$B$35)/1440),1,0)</f>
        <v>0</v>
      </c>
      <c r="H89" s="3">
        <f>IF(AND(VLOOKUP(H$1,test!$A$3:$F$32,5,FALSE) - VLOOKUP($B89,test!$A$3:$G$32,6,FALSE) &gt;= (test!$B$35)/1440),1,0)</f>
        <v>0</v>
      </c>
      <c r="I89" s="3">
        <f>IF(AND(VLOOKUP(I$1,test!$A$3:$F$32,5,FALSE) - VLOOKUP($B89,test!$A$3:$G$32,6,FALSE) &gt;= (test!$B$35)/1440),1,0)</f>
        <v>0</v>
      </c>
      <c r="J89" s="3">
        <f>IF(AND(VLOOKUP(J$1,test!$A$3:$F$32,5,FALSE) - VLOOKUP($B89,test!$A$3:$G$32,6,FALSE) &gt;= (test!$B$35)/1440),1,0)</f>
        <v>1</v>
      </c>
      <c r="K89" s="3">
        <f>IF(AND(VLOOKUP(K$1,test!$A$3:$F$32,5,FALSE) - VLOOKUP($B89,test!$A$3:$G$32,6,FALSE) &gt;= (test!$B$35)/1440),1,0)</f>
        <v>1</v>
      </c>
      <c r="L89" s="3">
        <f>IF(AND(VLOOKUP(L$1,test!$A$3:$F$32,5,FALSE) - VLOOKUP($B89,test!$A$3:$G$32,6,FALSE) &gt;= (test!$B$35)/1440),1,0)</f>
        <v>0</v>
      </c>
      <c r="M89" s="3">
        <f>IF(AND(VLOOKUP(M$1,test!$A$3:$F$32,5,FALSE) - VLOOKUP($B89,test!$A$3:$G$32,6,FALSE) &gt;= (test!$B$35)/1440),1,0)</f>
        <v>0</v>
      </c>
      <c r="N89" s="3">
        <f>IF(AND(VLOOKUP(N$1,test!$A$3:$F$32,5,FALSE) - VLOOKUP($B89,test!$A$3:$G$32,6,FALSE) &gt;= (test!$B$35)/1440),1,0)</f>
        <v>0</v>
      </c>
      <c r="O89" s="3">
        <f>IF(AND(VLOOKUP(O$1,test!$A$3:$F$32,5,FALSE) - VLOOKUP($B89,test!$A$3:$G$32,6,FALSE) &gt;= (test!$B$35)/1440),1,0)</f>
        <v>1</v>
      </c>
      <c r="P89" s="3">
        <f>IF(AND(VLOOKUP(P$1,test!$A$3:$F$32,5,FALSE) - VLOOKUP($B89,test!$A$3:$G$32,6,FALSE) &gt;= (test!$B$35)/1440),1,0)</f>
        <v>1</v>
      </c>
      <c r="Q89" s="3">
        <f>IF(AND(VLOOKUP(Q$1,test!$A$3:$F$32,5,FALSE) - VLOOKUP($B89,test!$A$3:$G$32,6,FALSE) &gt;= (test!$B$35)/1440),1,0)</f>
        <v>0</v>
      </c>
      <c r="R89" s="3">
        <f>IF(AND(VLOOKUP(R$1,test!$A$3:$F$32,5,FALSE) - VLOOKUP($B89,test!$A$3:$G$32,6,FALSE) &gt;= (test!$B$35)/1440),1,0)</f>
        <v>0</v>
      </c>
      <c r="S89" s="3">
        <f>IF(AND(VLOOKUP(S$1,test!$A$3:$F$32,5,FALSE) - VLOOKUP($B89,test!$A$3:$G$32,6,FALSE) &gt;= (test!$B$35)/1440),1,0)</f>
        <v>0</v>
      </c>
      <c r="T89" s="3">
        <f>IF(AND(VLOOKUP(T$1,test!$A$3:$F$32,5,FALSE) - VLOOKUP($B89,test!$A$3:$G$32,6,FALSE) &gt;= (test!$B$35)/1440),1,0)</f>
        <v>0</v>
      </c>
      <c r="U89" s="3">
        <f>IF(AND(VLOOKUP(U$1,test!$A$3:$F$32,5,FALSE) - VLOOKUP($B89,test!$A$3:$G$32,6,FALSE) &gt;= (test!$B$35)/1440),1,0)</f>
        <v>0</v>
      </c>
      <c r="V89" s="3">
        <f>IF(AND(VLOOKUP(V$1,test!$A$3:$F$32,5,FALSE) - VLOOKUP($B89,test!$A$3:$G$32,6,FALSE) &gt;= (test!$B$35)/1440),1,0)</f>
        <v>0</v>
      </c>
      <c r="W89" s="3">
        <f>IF(AND(VLOOKUP(W$1,test!$A$3:$F$32,5,FALSE) - VLOOKUP($B89,test!$A$3:$G$32,6,FALSE) &gt;= (test!$B$35)/1440),1,0)</f>
        <v>0</v>
      </c>
      <c r="X89" s="3">
        <f>IF(AND(VLOOKUP(X$1,test!$A$3:$F$32,5,FALSE) - VLOOKUP($B89,test!$A$3:$G$32,6,FALSE) &gt;= (test!$B$35)/1440),1,0)</f>
        <v>1</v>
      </c>
      <c r="Y89" s="3">
        <f>IF(AND(VLOOKUP(Y$1,test!$A$3:$F$32,5,FALSE) - VLOOKUP($B89,test!$A$3:$G$32,6,FALSE) &gt;= (test!$B$35)/1440),1,0)</f>
        <v>1</v>
      </c>
      <c r="Z89" s="3">
        <f>IF(AND(VLOOKUP(Z$1,test!$A$3:$F$32,5,FALSE) - VLOOKUP($B89,test!$A$3:$G$32,6,FALSE) &gt;= (test!$B$35)/1440),1,0)</f>
        <v>0</v>
      </c>
      <c r="AA89" s="3">
        <f>IF(AND(VLOOKUP(AA$1,test!$A$3:$F$32,5,FALSE) - VLOOKUP($B89,test!$A$3:$G$32,6,FALSE) &gt;= (test!$B$35)/1440),1,0)</f>
        <v>0</v>
      </c>
      <c r="AB89" s="3">
        <f>IF(AND(VLOOKUP(AB$1,test!$A$3:$F$32,5,FALSE) - VLOOKUP($B89,test!$A$3:$G$32,6,FALSE) &gt;= (test!$B$35)/1440),1,0)</f>
        <v>0</v>
      </c>
      <c r="AC89" s="3">
        <f>IF(AND(VLOOKUP(AC$1,test!$A$3:$F$32,5,FALSE) - VLOOKUP($B89,test!$A$3:$G$32,6,FALSE) &gt;= (test!$B$35)/1440),1,0)</f>
        <v>0</v>
      </c>
      <c r="AD89" s="3">
        <f>IF(AND(VLOOKUP(AD$1,test!$A$3:$F$32,5,FALSE) - VLOOKUP($B89,test!$A$3:$G$32,6,FALSE) &gt;= (test!$B$35)/1440),1,0)</f>
        <v>0</v>
      </c>
      <c r="AE89" s="3">
        <f>IF(AND(VLOOKUP(AE$1,test!$A$3:$F$32,5,FALSE) - VLOOKUP($B89,test!$A$3:$G$32,6,FALSE) &gt;= (test!$B$35)/1440),1,0)</f>
        <v>0</v>
      </c>
      <c r="AF89" s="3">
        <f>IF(AND(VLOOKUP(AF$1,test!$A$3:$F$32,5,FALSE) - VLOOKUP($B89,test!$A$3:$G$32,6,FALSE) &gt;= (test!$B$35)/1440),1,0)</f>
        <v>0</v>
      </c>
      <c r="AG89" s="3">
        <f>IF(AND(VLOOKUP(AG$1,test!$A$3:$F$32,5,FALSE) - VLOOKUP($B89,test!$A$3:$G$32,6,FALSE) &gt;= (test!$B$35)/1440),1,0)</f>
        <v>0</v>
      </c>
    </row>
    <row r="90" spans="1:33" x14ac:dyDescent="0.25">
      <c r="A90" t="s">
        <v>60</v>
      </c>
      <c r="B90" t="s">
        <v>37</v>
      </c>
      <c r="C90">
        <v>0</v>
      </c>
      <c r="D90" s="3">
        <f>IF(AND(VLOOKUP(D$1,test!$A$3:$F$32,5,FALSE) - VLOOKUP($B90,test!$A$3:$G$32,6,FALSE) &gt;= (test!$B$35)/1440),1,0)</f>
        <v>0</v>
      </c>
      <c r="E90" s="3">
        <f>IF(AND(VLOOKUP(E$1,test!$A$3:$F$32,5,FALSE) - VLOOKUP($B90,test!$A$3:$G$32,6,FALSE) &gt;= (test!$B$35)/1440),1,0)</f>
        <v>0</v>
      </c>
      <c r="F90" s="3">
        <f>IF(AND(VLOOKUP(F$1,test!$A$3:$F$32,5,FALSE) - VLOOKUP($B90,test!$A$3:$G$32,6,FALSE) &gt;= (test!$B$35)/1440),1,0)</f>
        <v>0</v>
      </c>
      <c r="G90" s="3">
        <f>IF(AND(VLOOKUP(G$1,test!$A$3:$F$32,5,FALSE) - VLOOKUP($B90,test!$A$3:$G$32,6,FALSE) &gt;= (test!$B$35)/1440),1,0)</f>
        <v>0</v>
      </c>
      <c r="H90" s="3">
        <f>IF(AND(VLOOKUP(H$1,test!$A$3:$F$32,5,FALSE) - VLOOKUP($B90,test!$A$3:$G$32,6,FALSE) &gt;= (test!$B$35)/1440),1,0)</f>
        <v>0</v>
      </c>
      <c r="I90" s="3">
        <f>IF(AND(VLOOKUP(I$1,test!$A$3:$F$32,5,FALSE) - VLOOKUP($B90,test!$A$3:$G$32,6,FALSE) &gt;= (test!$B$35)/1440),1,0)</f>
        <v>0</v>
      </c>
      <c r="J90" s="3">
        <f>IF(AND(VLOOKUP(J$1,test!$A$3:$F$32,5,FALSE) - VLOOKUP($B90,test!$A$3:$G$32,6,FALSE) &gt;= (test!$B$35)/1440),1,0)</f>
        <v>0</v>
      </c>
      <c r="K90" s="3">
        <f>IF(AND(VLOOKUP(K$1,test!$A$3:$F$32,5,FALSE) - VLOOKUP($B90,test!$A$3:$G$32,6,FALSE) &gt;= (test!$B$35)/1440),1,0)</f>
        <v>1</v>
      </c>
      <c r="L90" s="3">
        <f>IF(AND(VLOOKUP(L$1,test!$A$3:$F$32,5,FALSE) - VLOOKUP($B90,test!$A$3:$G$32,6,FALSE) &gt;= (test!$B$35)/1440),1,0)</f>
        <v>0</v>
      </c>
      <c r="M90" s="3">
        <f>IF(AND(VLOOKUP(M$1,test!$A$3:$F$32,5,FALSE) - VLOOKUP($B90,test!$A$3:$G$32,6,FALSE) &gt;= (test!$B$35)/1440),1,0)</f>
        <v>0</v>
      </c>
      <c r="N90" s="3">
        <f>IF(AND(VLOOKUP(N$1,test!$A$3:$F$32,5,FALSE) - VLOOKUP($B90,test!$A$3:$G$32,6,FALSE) &gt;= (test!$B$35)/1440),1,0)</f>
        <v>0</v>
      </c>
      <c r="O90" s="3">
        <f>IF(AND(VLOOKUP(O$1,test!$A$3:$F$32,5,FALSE) - VLOOKUP($B90,test!$A$3:$G$32,6,FALSE) &gt;= (test!$B$35)/1440),1,0)</f>
        <v>1</v>
      </c>
      <c r="P90" s="3">
        <f>IF(AND(VLOOKUP(P$1,test!$A$3:$F$32,5,FALSE) - VLOOKUP($B90,test!$A$3:$G$32,6,FALSE) &gt;= (test!$B$35)/1440),1,0)</f>
        <v>1</v>
      </c>
      <c r="Q90" s="3">
        <f>IF(AND(VLOOKUP(Q$1,test!$A$3:$F$32,5,FALSE) - VLOOKUP($B90,test!$A$3:$G$32,6,FALSE) &gt;= (test!$B$35)/1440),1,0)</f>
        <v>0</v>
      </c>
      <c r="R90" s="3">
        <f>IF(AND(VLOOKUP(R$1,test!$A$3:$F$32,5,FALSE) - VLOOKUP($B90,test!$A$3:$G$32,6,FALSE) &gt;= (test!$B$35)/1440),1,0)</f>
        <v>0</v>
      </c>
      <c r="S90" s="3">
        <f>IF(AND(VLOOKUP(S$1,test!$A$3:$F$32,5,FALSE) - VLOOKUP($B90,test!$A$3:$G$32,6,FALSE) &gt;= (test!$B$35)/1440),1,0)</f>
        <v>0</v>
      </c>
      <c r="T90" s="3">
        <f>IF(AND(VLOOKUP(T$1,test!$A$3:$F$32,5,FALSE) - VLOOKUP($B90,test!$A$3:$G$32,6,FALSE) &gt;= (test!$B$35)/1440),1,0)</f>
        <v>0</v>
      </c>
      <c r="U90" s="3">
        <f>IF(AND(VLOOKUP(U$1,test!$A$3:$F$32,5,FALSE) - VLOOKUP($B90,test!$A$3:$G$32,6,FALSE) &gt;= (test!$B$35)/1440),1,0)</f>
        <v>0</v>
      </c>
      <c r="V90" s="3">
        <f>IF(AND(VLOOKUP(V$1,test!$A$3:$F$32,5,FALSE) - VLOOKUP($B90,test!$A$3:$G$32,6,FALSE) &gt;= (test!$B$35)/1440),1,0)</f>
        <v>0</v>
      </c>
      <c r="W90" s="3">
        <f>IF(AND(VLOOKUP(W$1,test!$A$3:$F$32,5,FALSE) - VLOOKUP($B90,test!$A$3:$G$32,6,FALSE) &gt;= (test!$B$35)/1440),1,0)</f>
        <v>0</v>
      </c>
      <c r="X90" s="3">
        <f>IF(AND(VLOOKUP(X$1,test!$A$3:$F$32,5,FALSE) - VLOOKUP($B90,test!$A$3:$G$32,6,FALSE) &gt;= (test!$B$35)/1440),1,0)</f>
        <v>0</v>
      </c>
      <c r="Y90" s="3">
        <f>IF(AND(VLOOKUP(Y$1,test!$A$3:$F$32,5,FALSE) - VLOOKUP($B90,test!$A$3:$G$32,6,FALSE) &gt;= (test!$B$35)/1440),1,0)</f>
        <v>1</v>
      </c>
      <c r="Z90" s="3">
        <f>IF(AND(VLOOKUP(Z$1,test!$A$3:$F$32,5,FALSE) - VLOOKUP($B90,test!$A$3:$G$32,6,FALSE) &gt;= (test!$B$35)/1440),1,0)</f>
        <v>0</v>
      </c>
      <c r="AA90" s="3">
        <f>IF(AND(VLOOKUP(AA$1,test!$A$3:$F$32,5,FALSE) - VLOOKUP($B90,test!$A$3:$G$32,6,FALSE) &gt;= (test!$B$35)/1440),1,0)</f>
        <v>0</v>
      </c>
      <c r="AB90" s="3">
        <f>IF(AND(VLOOKUP(AB$1,test!$A$3:$F$32,5,FALSE) - VLOOKUP($B90,test!$A$3:$G$32,6,FALSE) &gt;= (test!$B$35)/1440),1,0)</f>
        <v>0</v>
      </c>
      <c r="AC90" s="3">
        <f>IF(AND(VLOOKUP(AC$1,test!$A$3:$F$32,5,FALSE) - VLOOKUP($B90,test!$A$3:$G$32,6,FALSE) &gt;= (test!$B$35)/1440),1,0)</f>
        <v>0</v>
      </c>
      <c r="AD90" s="3">
        <f>IF(AND(VLOOKUP(AD$1,test!$A$3:$F$32,5,FALSE) - VLOOKUP($B90,test!$A$3:$G$32,6,FALSE) &gt;= (test!$B$35)/1440),1,0)</f>
        <v>0</v>
      </c>
      <c r="AE90" s="3">
        <f>IF(AND(VLOOKUP(AE$1,test!$A$3:$F$32,5,FALSE) - VLOOKUP($B90,test!$A$3:$G$32,6,FALSE) &gt;= (test!$B$35)/1440),1,0)</f>
        <v>0</v>
      </c>
      <c r="AF90" s="3">
        <f>IF(AND(VLOOKUP(AF$1,test!$A$3:$F$32,5,FALSE) - VLOOKUP($B90,test!$A$3:$G$32,6,FALSE) &gt;= (test!$B$35)/1440),1,0)</f>
        <v>0</v>
      </c>
      <c r="AG90" s="3">
        <f>IF(AND(VLOOKUP(AG$1,test!$A$3:$F$32,5,FALSE) - VLOOKUP($B90,test!$A$3:$G$32,6,FALSE) &gt;= (test!$B$35)/1440),1,0)</f>
        <v>0</v>
      </c>
    </row>
    <row r="91" spans="1:33" x14ac:dyDescent="0.25">
      <c r="A91" t="s">
        <v>60</v>
      </c>
      <c r="B91" t="s">
        <v>38</v>
      </c>
      <c r="C91">
        <v>0</v>
      </c>
      <c r="D91" s="3">
        <f>IF(AND(VLOOKUP(D$1,test!$A$3:$F$32,5,FALSE) - VLOOKUP($B91,test!$A$3:$G$32,6,FALSE) &gt;= (test!$B$35)/1440),1,0)</f>
        <v>0</v>
      </c>
      <c r="E91" s="3">
        <f>IF(AND(VLOOKUP(E$1,test!$A$3:$F$32,5,FALSE) - VLOOKUP($B91,test!$A$3:$G$32,6,FALSE) &gt;= (test!$B$35)/1440),1,0)</f>
        <v>0</v>
      </c>
      <c r="F91" s="3">
        <f>IF(AND(VLOOKUP(F$1,test!$A$3:$F$32,5,FALSE) - VLOOKUP($B91,test!$A$3:$G$32,6,FALSE) &gt;= (test!$B$35)/1440),1,0)</f>
        <v>0</v>
      </c>
      <c r="G91" s="3">
        <f>IF(AND(VLOOKUP(G$1,test!$A$3:$F$32,5,FALSE) - VLOOKUP($B91,test!$A$3:$G$32,6,FALSE) &gt;= (test!$B$35)/1440),1,0)</f>
        <v>0</v>
      </c>
      <c r="H91" s="3">
        <f>IF(AND(VLOOKUP(H$1,test!$A$3:$F$32,5,FALSE) - VLOOKUP($B91,test!$A$3:$G$32,6,FALSE) &gt;= (test!$B$35)/1440),1,0)</f>
        <v>0</v>
      </c>
      <c r="I91" s="3">
        <f>IF(AND(VLOOKUP(I$1,test!$A$3:$F$32,5,FALSE) - VLOOKUP($B91,test!$A$3:$G$32,6,FALSE) &gt;= (test!$B$35)/1440),1,0)</f>
        <v>0</v>
      </c>
      <c r="J91" s="3">
        <f>IF(AND(VLOOKUP(J$1,test!$A$3:$F$32,5,FALSE) - VLOOKUP($B91,test!$A$3:$G$32,6,FALSE) &gt;= (test!$B$35)/1440),1,0)</f>
        <v>0</v>
      </c>
      <c r="K91" s="3">
        <f>IF(AND(VLOOKUP(K$1,test!$A$3:$F$32,5,FALSE) - VLOOKUP($B91,test!$A$3:$G$32,6,FALSE) &gt;= (test!$B$35)/1440),1,0)</f>
        <v>0</v>
      </c>
      <c r="L91" s="3">
        <f>IF(AND(VLOOKUP(L$1,test!$A$3:$F$32,5,FALSE) - VLOOKUP($B91,test!$A$3:$G$32,6,FALSE) &gt;= (test!$B$35)/1440),1,0)</f>
        <v>0</v>
      </c>
      <c r="M91" s="3">
        <f>IF(AND(VLOOKUP(M$1,test!$A$3:$F$32,5,FALSE) - VLOOKUP($B91,test!$A$3:$G$32,6,FALSE) &gt;= (test!$B$35)/1440),1,0)</f>
        <v>0</v>
      </c>
      <c r="N91" s="3">
        <f>IF(AND(VLOOKUP(N$1,test!$A$3:$F$32,5,FALSE) - VLOOKUP($B91,test!$A$3:$G$32,6,FALSE) &gt;= (test!$B$35)/1440),1,0)</f>
        <v>0</v>
      </c>
      <c r="O91" s="3">
        <f>IF(AND(VLOOKUP(O$1,test!$A$3:$F$32,5,FALSE) - VLOOKUP($B91,test!$A$3:$G$32,6,FALSE) &gt;= (test!$B$35)/1440),1,0)</f>
        <v>0</v>
      </c>
      <c r="P91" s="3">
        <f>IF(AND(VLOOKUP(P$1,test!$A$3:$F$32,5,FALSE) - VLOOKUP($B91,test!$A$3:$G$32,6,FALSE) &gt;= (test!$B$35)/1440),1,0)</f>
        <v>0</v>
      </c>
      <c r="Q91" s="3">
        <f>IF(AND(VLOOKUP(Q$1,test!$A$3:$F$32,5,FALSE) - VLOOKUP($B91,test!$A$3:$G$32,6,FALSE) &gt;= (test!$B$35)/1440),1,0)</f>
        <v>0</v>
      </c>
      <c r="R91" s="3">
        <f>IF(AND(VLOOKUP(R$1,test!$A$3:$F$32,5,FALSE) - VLOOKUP($B91,test!$A$3:$G$32,6,FALSE) &gt;= (test!$B$35)/1440),1,0)</f>
        <v>0</v>
      </c>
      <c r="S91" s="3">
        <f>IF(AND(VLOOKUP(S$1,test!$A$3:$F$32,5,FALSE) - VLOOKUP($B91,test!$A$3:$G$32,6,FALSE) &gt;= (test!$B$35)/1440),1,0)</f>
        <v>0</v>
      </c>
      <c r="T91" s="3">
        <f>IF(AND(VLOOKUP(T$1,test!$A$3:$F$32,5,FALSE) - VLOOKUP($B91,test!$A$3:$G$32,6,FALSE) &gt;= (test!$B$35)/1440),1,0)</f>
        <v>0</v>
      </c>
      <c r="U91" s="3">
        <f>IF(AND(VLOOKUP(U$1,test!$A$3:$F$32,5,FALSE) - VLOOKUP($B91,test!$A$3:$G$32,6,FALSE) &gt;= (test!$B$35)/1440),1,0)</f>
        <v>0</v>
      </c>
      <c r="V91" s="3">
        <f>IF(AND(VLOOKUP(V$1,test!$A$3:$F$32,5,FALSE) - VLOOKUP($B91,test!$A$3:$G$32,6,FALSE) &gt;= (test!$B$35)/1440),1,0)</f>
        <v>0</v>
      </c>
      <c r="W91" s="3">
        <f>IF(AND(VLOOKUP(W$1,test!$A$3:$F$32,5,FALSE) - VLOOKUP($B91,test!$A$3:$G$32,6,FALSE) &gt;= (test!$B$35)/1440),1,0)</f>
        <v>0</v>
      </c>
      <c r="X91" s="3">
        <f>IF(AND(VLOOKUP(X$1,test!$A$3:$F$32,5,FALSE) - VLOOKUP($B91,test!$A$3:$G$32,6,FALSE) &gt;= (test!$B$35)/1440),1,0)</f>
        <v>0</v>
      </c>
      <c r="Y91" s="3">
        <f>IF(AND(VLOOKUP(Y$1,test!$A$3:$F$32,5,FALSE) - VLOOKUP($B91,test!$A$3:$G$32,6,FALSE) &gt;= (test!$B$35)/1440),1,0)</f>
        <v>0</v>
      </c>
      <c r="Z91" s="3">
        <f>IF(AND(VLOOKUP(Z$1,test!$A$3:$F$32,5,FALSE) - VLOOKUP($B91,test!$A$3:$G$32,6,FALSE) &gt;= (test!$B$35)/1440),1,0)</f>
        <v>0</v>
      </c>
      <c r="AA91" s="3">
        <f>IF(AND(VLOOKUP(AA$1,test!$A$3:$F$32,5,FALSE) - VLOOKUP($B91,test!$A$3:$G$32,6,FALSE) &gt;= (test!$B$35)/1440),1,0)</f>
        <v>0</v>
      </c>
      <c r="AB91" s="3">
        <f>IF(AND(VLOOKUP(AB$1,test!$A$3:$F$32,5,FALSE) - VLOOKUP($B91,test!$A$3:$G$32,6,FALSE) &gt;= (test!$B$35)/1440),1,0)</f>
        <v>0</v>
      </c>
      <c r="AC91" s="3">
        <f>IF(AND(VLOOKUP(AC$1,test!$A$3:$F$32,5,FALSE) - VLOOKUP($B91,test!$A$3:$G$32,6,FALSE) &gt;= (test!$B$35)/1440),1,0)</f>
        <v>0</v>
      </c>
      <c r="AD91" s="3">
        <f>IF(AND(VLOOKUP(AD$1,test!$A$3:$F$32,5,FALSE) - VLOOKUP($B91,test!$A$3:$G$32,6,FALSE) &gt;= (test!$B$35)/1440),1,0)</f>
        <v>0</v>
      </c>
      <c r="AE91" s="3">
        <f>IF(AND(VLOOKUP(AE$1,test!$A$3:$F$32,5,FALSE) - VLOOKUP($B91,test!$A$3:$G$32,6,FALSE) &gt;= (test!$B$35)/1440),1,0)</f>
        <v>0</v>
      </c>
      <c r="AF91" s="3">
        <f>IF(AND(VLOOKUP(AF$1,test!$A$3:$F$32,5,FALSE) - VLOOKUP($B91,test!$A$3:$G$32,6,FALSE) &gt;= (test!$B$35)/1440),1,0)</f>
        <v>0</v>
      </c>
      <c r="AG91" s="3">
        <f>IF(AND(VLOOKUP(AG$1,test!$A$3:$F$32,5,FALSE) - VLOOKUP($B91,test!$A$3:$G$32,6,FALSE) &gt;= (test!$B$35)/1440),1,0)</f>
        <v>0</v>
      </c>
    </row>
    <row r="92" spans="1:33" x14ac:dyDescent="0.25">
      <c r="A92" t="s">
        <v>60</v>
      </c>
      <c r="B92" t="s">
        <v>39</v>
      </c>
      <c r="C92">
        <v>0</v>
      </c>
      <c r="D92" s="3">
        <f>IF(AND(VLOOKUP(D$1,test!$A$3:$F$32,5,FALSE) - VLOOKUP($B92,test!$A$3:$G$32,6,FALSE) &gt;= (test!$B$35)/1440),1,0)</f>
        <v>0</v>
      </c>
      <c r="E92" s="3">
        <f>IF(AND(VLOOKUP(E$1,test!$A$3:$F$32,5,FALSE) - VLOOKUP($B92,test!$A$3:$G$32,6,FALSE) &gt;= (test!$B$35)/1440),1,0)</f>
        <v>0</v>
      </c>
      <c r="F92" s="3">
        <f>IF(AND(VLOOKUP(F$1,test!$A$3:$F$32,5,FALSE) - VLOOKUP($B92,test!$A$3:$G$32,6,FALSE) &gt;= (test!$B$35)/1440),1,0)</f>
        <v>1</v>
      </c>
      <c r="G92" s="3">
        <f>IF(AND(VLOOKUP(G$1,test!$A$3:$F$32,5,FALSE) - VLOOKUP($B92,test!$A$3:$G$32,6,FALSE) &gt;= (test!$B$35)/1440),1,0)</f>
        <v>1</v>
      </c>
      <c r="H92" s="3">
        <f>IF(AND(VLOOKUP(H$1,test!$A$3:$F$32,5,FALSE) - VLOOKUP($B92,test!$A$3:$G$32,6,FALSE) &gt;= (test!$B$35)/1440),1,0)</f>
        <v>1</v>
      </c>
      <c r="I92" s="3">
        <f>IF(AND(VLOOKUP(I$1,test!$A$3:$F$32,5,FALSE) - VLOOKUP($B92,test!$A$3:$G$32,6,FALSE) &gt;= (test!$B$35)/1440),1,0)</f>
        <v>1</v>
      </c>
      <c r="J92" s="3">
        <f>IF(AND(VLOOKUP(J$1,test!$A$3:$F$32,5,FALSE) - VLOOKUP($B92,test!$A$3:$G$32,6,FALSE) &gt;= (test!$B$35)/1440),1,0)</f>
        <v>1</v>
      </c>
      <c r="K92" s="3">
        <f>IF(AND(VLOOKUP(K$1,test!$A$3:$F$32,5,FALSE) - VLOOKUP($B92,test!$A$3:$G$32,6,FALSE) &gt;= (test!$B$35)/1440),1,0)</f>
        <v>1</v>
      </c>
      <c r="L92" s="3">
        <f>IF(AND(VLOOKUP(L$1,test!$A$3:$F$32,5,FALSE) - VLOOKUP($B92,test!$A$3:$G$32,6,FALSE) &gt;= (test!$B$35)/1440),1,0)</f>
        <v>0</v>
      </c>
      <c r="M92" s="3">
        <f>IF(AND(VLOOKUP(M$1,test!$A$3:$F$32,5,FALSE) - VLOOKUP($B92,test!$A$3:$G$32,6,FALSE) &gt;= (test!$B$35)/1440),1,0)</f>
        <v>0</v>
      </c>
      <c r="N92" s="3">
        <f>IF(AND(VLOOKUP(N$1,test!$A$3:$F$32,5,FALSE) - VLOOKUP($B92,test!$A$3:$G$32,6,FALSE) &gt;= (test!$B$35)/1440),1,0)</f>
        <v>1</v>
      </c>
      <c r="O92" s="3">
        <f>IF(AND(VLOOKUP(O$1,test!$A$3:$F$32,5,FALSE) - VLOOKUP($B92,test!$A$3:$G$32,6,FALSE) &gt;= (test!$B$35)/1440),1,0)</f>
        <v>1</v>
      </c>
      <c r="P92" s="3">
        <f>IF(AND(VLOOKUP(P$1,test!$A$3:$F$32,5,FALSE) - VLOOKUP($B92,test!$A$3:$G$32,6,FALSE) &gt;= (test!$B$35)/1440),1,0)</f>
        <v>1</v>
      </c>
      <c r="Q92" s="3">
        <f>IF(AND(VLOOKUP(Q$1,test!$A$3:$F$32,5,FALSE) - VLOOKUP($B92,test!$A$3:$G$32,6,FALSE) &gt;= (test!$B$35)/1440),1,0)</f>
        <v>0</v>
      </c>
      <c r="R92" s="3">
        <f>IF(AND(VLOOKUP(R$1,test!$A$3:$F$32,5,FALSE) - VLOOKUP($B92,test!$A$3:$G$32,6,FALSE) &gt;= (test!$B$35)/1440),1,0)</f>
        <v>0</v>
      </c>
      <c r="S92" s="3">
        <f>IF(AND(VLOOKUP(S$1,test!$A$3:$F$32,5,FALSE) - VLOOKUP($B92,test!$A$3:$G$32,6,FALSE) &gt;= (test!$B$35)/1440),1,0)</f>
        <v>0</v>
      </c>
      <c r="T92" s="3">
        <f>IF(AND(VLOOKUP(T$1,test!$A$3:$F$32,5,FALSE) - VLOOKUP($B92,test!$A$3:$G$32,6,FALSE) &gt;= (test!$B$35)/1440),1,0)</f>
        <v>0</v>
      </c>
      <c r="U92" s="3">
        <f>IF(AND(VLOOKUP(U$1,test!$A$3:$F$32,5,FALSE) - VLOOKUP($B92,test!$A$3:$G$32,6,FALSE) &gt;= (test!$B$35)/1440),1,0)</f>
        <v>1</v>
      </c>
      <c r="V92" s="3">
        <f>IF(AND(VLOOKUP(V$1,test!$A$3:$F$32,5,FALSE) - VLOOKUP($B92,test!$A$3:$G$32,6,FALSE) &gt;= (test!$B$35)/1440),1,0)</f>
        <v>1</v>
      </c>
      <c r="W92" s="3">
        <f>IF(AND(VLOOKUP(W$1,test!$A$3:$F$32,5,FALSE) - VLOOKUP($B92,test!$A$3:$G$32,6,FALSE) &gt;= (test!$B$35)/1440),1,0)</f>
        <v>1</v>
      </c>
      <c r="X92" s="3">
        <f>IF(AND(VLOOKUP(X$1,test!$A$3:$F$32,5,FALSE) - VLOOKUP($B92,test!$A$3:$G$32,6,FALSE) &gt;= (test!$B$35)/1440),1,0)</f>
        <v>1</v>
      </c>
      <c r="Y92" s="3">
        <f>IF(AND(VLOOKUP(Y$1,test!$A$3:$F$32,5,FALSE) - VLOOKUP($B92,test!$A$3:$G$32,6,FALSE) &gt;= (test!$B$35)/1440),1,0)</f>
        <v>1</v>
      </c>
      <c r="Z92" s="3">
        <f>IF(AND(VLOOKUP(Z$1,test!$A$3:$F$32,5,FALSE) - VLOOKUP($B92,test!$A$3:$G$32,6,FALSE) &gt;= (test!$B$35)/1440),1,0)</f>
        <v>0</v>
      </c>
      <c r="AA92" s="3">
        <f>IF(AND(VLOOKUP(AA$1,test!$A$3:$F$32,5,FALSE) - VLOOKUP($B92,test!$A$3:$G$32,6,FALSE) &gt;= (test!$B$35)/1440),1,0)</f>
        <v>0</v>
      </c>
      <c r="AB92" s="3">
        <f>IF(AND(VLOOKUP(AB$1,test!$A$3:$F$32,5,FALSE) - VLOOKUP($B92,test!$A$3:$G$32,6,FALSE) &gt;= (test!$B$35)/1440),1,0)</f>
        <v>1</v>
      </c>
      <c r="AC92" s="3">
        <f>IF(AND(VLOOKUP(AC$1,test!$A$3:$F$32,5,FALSE) - VLOOKUP($B92,test!$A$3:$G$32,6,FALSE) &gt;= (test!$B$35)/1440),1,0)</f>
        <v>1</v>
      </c>
      <c r="AD92" s="3">
        <f>IF(AND(VLOOKUP(AD$1,test!$A$3:$F$32,5,FALSE) - VLOOKUP($B92,test!$A$3:$G$32,6,FALSE) &gt;= (test!$B$35)/1440),1,0)</f>
        <v>1</v>
      </c>
      <c r="AE92" s="3">
        <f>IF(AND(VLOOKUP(AE$1,test!$A$3:$F$32,5,FALSE) - VLOOKUP($B92,test!$A$3:$G$32,6,FALSE) &gt;= (test!$B$35)/1440),1,0)</f>
        <v>0</v>
      </c>
      <c r="AF92" s="3">
        <f>IF(AND(VLOOKUP(AF$1,test!$A$3:$F$32,5,FALSE) - VLOOKUP($B92,test!$A$3:$G$32,6,FALSE) &gt;= (test!$B$35)/1440),1,0)</f>
        <v>1</v>
      </c>
      <c r="AG92" s="3">
        <f>IF(AND(VLOOKUP(AG$1,test!$A$3:$F$32,5,FALSE) - VLOOKUP($B92,test!$A$3:$G$32,6,FALSE) &gt;= (test!$B$35)/1440),1,0)</f>
        <v>1</v>
      </c>
    </row>
    <row r="93" spans="1:33" x14ac:dyDescent="0.25">
      <c r="A93" t="s">
        <v>60</v>
      </c>
      <c r="B93" t="s">
        <v>40</v>
      </c>
      <c r="C93">
        <v>0</v>
      </c>
      <c r="D93" s="3">
        <f>IF(AND(VLOOKUP(D$1,test!$A$3:$F$32,5,FALSE) - VLOOKUP($B93,test!$A$3:$G$32,6,FALSE) &gt;= (test!$B$35)/1440),1,0)</f>
        <v>0</v>
      </c>
      <c r="E93" s="3">
        <f>IF(AND(VLOOKUP(E$1,test!$A$3:$F$32,5,FALSE) - VLOOKUP($B93,test!$A$3:$G$32,6,FALSE) &gt;= (test!$B$35)/1440),1,0)</f>
        <v>0</v>
      </c>
      <c r="F93" s="3">
        <f>IF(AND(VLOOKUP(F$1,test!$A$3:$F$32,5,FALSE) - VLOOKUP($B93,test!$A$3:$G$32,6,FALSE) &gt;= (test!$B$35)/1440),1,0)</f>
        <v>0</v>
      </c>
      <c r="G93" s="3">
        <f>IF(AND(VLOOKUP(G$1,test!$A$3:$F$32,5,FALSE) - VLOOKUP($B93,test!$A$3:$G$32,6,FALSE) &gt;= (test!$B$35)/1440),1,0)</f>
        <v>0</v>
      </c>
      <c r="H93" s="3">
        <f>IF(AND(VLOOKUP(H$1,test!$A$3:$F$32,5,FALSE) - VLOOKUP($B93,test!$A$3:$G$32,6,FALSE) &gt;= (test!$B$35)/1440),1,0)</f>
        <v>0</v>
      </c>
      <c r="I93" s="3">
        <f>IF(AND(VLOOKUP(I$1,test!$A$3:$F$32,5,FALSE) - VLOOKUP($B93,test!$A$3:$G$32,6,FALSE) &gt;= (test!$B$35)/1440),1,0)</f>
        <v>0</v>
      </c>
      <c r="J93" s="3">
        <f>IF(AND(VLOOKUP(J$1,test!$A$3:$F$32,5,FALSE) - VLOOKUP($B93,test!$A$3:$G$32,6,FALSE) &gt;= (test!$B$35)/1440),1,0)</f>
        <v>0</v>
      </c>
      <c r="K93" s="3">
        <f>IF(AND(VLOOKUP(K$1,test!$A$3:$F$32,5,FALSE) - VLOOKUP($B93,test!$A$3:$G$32,6,FALSE) &gt;= (test!$B$35)/1440),1,0)</f>
        <v>1</v>
      </c>
      <c r="L93" s="3">
        <f>IF(AND(VLOOKUP(L$1,test!$A$3:$F$32,5,FALSE) - VLOOKUP($B93,test!$A$3:$G$32,6,FALSE) &gt;= (test!$B$35)/1440),1,0)</f>
        <v>0</v>
      </c>
      <c r="M93" s="3">
        <f>IF(AND(VLOOKUP(M$1,test!$A$3:$F$32,5,FALSE) - VLOOKUP($B93,test!$A$3:$G$32,6,FALSE) &gt;= (test!$B$35)/1440),1,0)</f>
        <v>0</v>
      </c>
      <c r="N93" s="3">
        <f>IF(AND(VLOOKUP(N$1,test!$A$3:$F$32,5,FALSE) - VLOOKUP($B93,test!$A$3:$G$32,6,FALSE) &gt;= (test!$B$35)/1440),1,0)</f>
        <v>0</v>
      </c>
      <c r="O93" s="3">
        <f>IF(AND(VLOOKUP(O$1,test!$A$3:$F$32,5,FALSE) - VLOOKUP($B93,test!$A$3:$G$32,6,FALSE) &gt;= (test!$B$35)/1440),1,0)</f>
        <v>1</v>
      </c>
      <c r="P93" s="3">
        <f>IF(AND(VLOOKUP(P$1,test!$A$3:$F$32,5,FALSE) - VLOOKUP($B93,test!$A$3:$G$32,6,FALSE) &gt;= (test!$B$35)/1440),1,0)</f>
        <v>1</v>
      </c>
      <c r="Q93" s="3">
        <f>IF(AND(VLOOKUP(Q$1,test!$A$3:$F$32,5,FALSE) - VLOOKUP($B93,test!$A$3:$G$32,6,FALSE) &gt;= (test!$B$35)/1440),1,0)</f>
        <v>0</v>
      </c>
      <c r="R93" s="3">
        <f>IF(AND(VLOOKUP(R$1,test!$A$3:$F$32,5,FALSE) - VLOOKUP($B93,test!$A$3:$G$32,6,FALSE) &gt;= (test!$B$35)/1440),1,0)</f>
        <v>0</v>
      </c>
      <c r="S93" s="3">
        <f>IF(AND(VLOOKUP(S$1,test!$A$3:$F$32,5,FALSE) - VLOOKUP($B93,test!$A$3:$G$32,6,FALSE) &gt;= (test!$B$35)/1440),1,0)</f>
        <v>0</v>
      </c>
      <c r="T93" s="3">
        <f>IF(AND(VLOOKUP(T$1,test!$A$3:$F$32,5,FALSE) - VLOOKUP($B93,test!$A$3:$G$32,6,FALSE) &gt;= (test!$B$35)/1440),1,0)</f>
        <v>0</v>
      </c>
      <c r="U93" s="3">
        <f>IF(AND(VLOOKUP(U$1,test!$A$3:$F$32,5,FALSE) - VLOOKUP($B93,test!$A$3:$G$32,6,FALSE) &gt;= (test!$B$35)/1440),1,0)</f>
        <v>0</v>
      </c>
      <c r="V93" s="3">
        <f>IF(AND(VLOOKUP(V$1,test!$A$3:$F$32,5,FALSE) - VLOOKUP($B93,test!$A$3:$G$32,6,FALSE) &gt;= (test!$B$35)/1440),1,0)</f>
        <v>0</v>
      </c>
      <c r="W93" s="3">
        <f>IF(AND(VLOOKUP(W$1,test!$A$3:$F$32,5,FALSE) - VLOOKUP($B93,test!$A$3:$G$32,6,FALSE) &gt;= (test!$B$35)/1440),1,0)</f>
        <v>0</v>
      </c>
      <c r="X93" s="3">
        <f>IF(AND(VLOOKUP(X$1,test!$A$3:$F$32,5,FALSE) - VLOOKUP($B93,test!$A$3:$G$32,6,FALSE) &gt;= (test!$B$35)/1440),1,0)</f>
        <v>0</v>
      </c>
      <c r="Y93" s="3">
        <f>IF(AND(VLOOKUP(Y$1,test!$A$3:$F$32,5,FALSE) - VLOOKUP($B93,test!$A$3:$G$32,6,FALSE) &gt;= (test!$B$35)/1440),1,0)</f>
        <v>1</v>
      </c>
      <c r="Z93" s="3">
        <f>IF(AND(VLOOKUP(Z$1,test!$A$3:$F$32,5,FALSE) - VLOOKUP($B93,test!$A$3:$G$32,6,FALSE) &gt;= (test!$B$35)/1440),1,0)</f>
        <v>0</v>
      </c>
      <c r="AA93" s="3">
        <f>IF(AND(VLOOKUP(AA$1,test!$A$3:$F$32,5,FALSE) - VLOOKUP($B93,test!$A$3:$G$32,6,FALSE) &gt;= (test!$B$35)/1440),1,0)</f>
        <v>0</v>
      </c>
      <c r="AB93" s="3">
        <f>IF(AND(VLOOKUP(AB$1,test!$A$3:$F$32,5,FALSE) - VLOOKUP($B93,test!$A$3:$G$32,6,FALSE) &gt;= (test!$B$35)/1440),1,0)</f>
        <v>0</v>
      </c>
      <c r="AC93" s="3">
        <f>IF(AND(VLOOKUP(AC$1,test!$A$3:$F$32,5,FALSE) - VLOOKUP($B93,test!$A$3:$G$32,6,FALSE) &gt;= (test!$B$35)/1440),1,0)</f>
        <v>0</v>
      </c>
      <c r="AD93" s="3">
        <f>IF(AND(VLOOKUP(AD$1,test!$A$3:$F$32,5,FALSE) - VLOOKUP($B93,test!$A$3:$G$32,6,FALSE) &gt;= (test!$B$35)/1440),1,0)</f>
        <v>0</v>
      </c>
      <c r="AE93" s="3">
        <f>IF(AND(VLOOKUP(AE$1,test!$A$3:$F$32,5,FALSE) - VLOOKUP($B93,test!$A$3:$G$32,6,FALSE) &gt;= (test!$B$35)/1440),1,0)</f>
        <v>0</v>
      </c>
      <c r="AF93" s="3">
        <f>IF(AND(VLOOKUP(AF$1,test!$A$3:$F$32,5,FALSE) - VLOOKUP($B93,test!$A$3:$G$32,6,FALSE) &gt;= (test!$B$35)/1440),1,0)</f>
        <v>0</v>
      </c>
      <c r="AG93" s="3">
        <f>IF(AND(VLOOKUP(AG$1,test!$A$3:$F$32,5,FALSE) - VLOOKUP($B93,test!$A$3:$G$32,6,FALSE) &gt;= (test!$B$35)/1440),1,0)</f>
        <v>0</v>
      </c>
    </row>
    <row r="94" spans="1:33" x14ac:dyDescent="0.25">
      <c r="A94" t="s">
        <v>60</v>
      </c>
      <c r="B94" t="s">
        <v>41</v>
      </c>
      <c r="C94">
        <v>0</v>
      </c>
      <c r="D94" s="3">
        <f>IF(AND(VLOOKUP(D$1,test!$A$3:$F$32,5,FALSE) - VLOOKUP($B94,test!$A$3:$G$32,6,FALSE) &gt;= (test!$B$35)/1440),1,0)</f>
        <v>0</v>
      </c>
      <c r="E94" s="3">
        <f>IF(AND(VLOOKUP(E$1,test!$A$3:$F$32,5,FALSE) - VLOOKUP($B94,test!$A$3:$G$32,6,FALSE) &gt;= (test!$B$35)/1440),1,0)</f>
        <v>0</v>
      </c>
      <c r="F94" s="3">
        <f>IF(AND(VLOOKUP(F$1,test!$A$3:$F$32,5,FALSE) - VLOOKUP($B94,test!$A$3:$G$32,6,FALSE) &gt;= (test!$B$35)/1440),1,0)</f>
        <v>0</v>
      </c>
      <c r="G94" s="3">
        <f>IF(AND(VLOOKUP(G$1,test!$A$3:$F$32,5,FALSE) - VLOOKUP($B94,test!$A$3:$G$32,6,FALSE) &gt;= (test!$B$35)/1440),1,0)</f>
        <v>0</v>
      </c>
      <c r="H94" s="3">
        <f>IF(AND(VLOOKUP(H$1,test!$A$3:$F$32,5,FALSE) - VLOOKUP($B94,test!$A$3:$G$32,6,FALSE) &gt;= (test!$B$35)/1440),1,0)</f>
        <v>0</v>
      </c>
      <c r="I94" s="3">
        <f>IF(AND(VLOOKUP(I$1,test!$A$3:$F$32,5,FALSE) - VLOOKUP($B94,test!$A$3:$G$32,6,FALSE) &gt;= (test!$B$35)/1440),1,0)</f>
        <v>0</v>
      </c>
      <c r="J94" s="3">
        <f>IF(AND(VLOOKUP(J$1,test!$A$3:$F$32,5,FALSE) - VLOOKUP($B94,test!$A$3:$G$32,6,FALSE) &gt;= (test!$B$35)/1440),1,0)</f>
        <v>0</v>
      </c>
      <c r="K94" s="3">
        <f>IF(AND(VLOOKUP(K$1,test!$A$3:$F$32,5,FALSE) - VLOOKUP($B94,test!$A$3:$G$32,6,FALSE) &gt;= (test!$B$35)/1440),1,0)</f>
        <v>1</v>
      </c>
      <c r="L94" s="3">
        <f>IF(AND(VLOOKUP(L$1,test!$A$3:$F$32,5,FALSE) - VLOOKUP($B94,test!$A$3:$G$32,6,FALSE) &gt;= (test!$B$35)/1440),1,0)</f>
        <v>0</v>
      </c>
      <c r="M94" s="3">
        <f>IF(AND(VLOOKUP(M$1,test!$A$3:$F$32,5,FALSE) - VLOOKUP($B94,test!$A$3:$G$32,6,FALSE) &gt;= (test!$B$35)/1440),1,0)</f>
        <v>0</v>
      </c>
      <c r="N94" s="3">
        <f>IF(AND(VLOOKUP(N$1,test!$A$3:$F$32,5,FALSE) - VLOOKUP($B94,test!$A$3:$G$32,6,FALSE) &gt;= (test!$B$35)/1440),1,0)</f>
        <v>0</v>
      </c>
      <c r="O94" s="3">
        <f>IF(AND(VLOOKUP(O$1,test!$A$3:$F$32,5,FALSE) - VLOOKUP($B94,test!$A$3:$G$32,6,FALSE) &gt;= (test!$B$35)/1440),1,0)</f>
        <v>1</v>
      </c>
      <c r="P94" s="3">
        <f>IF(AND(VLOOKUP(P$1,test!$A$3:$F$32,5,FALSE) - VLOOKUP($B94,test!$A$3:$G$32,6,FALSE) &gt;= (test!$B$35)/1440),1,0)</f>
        <v>1</v>
      </c>
      <c r="Q94" s="3">
        <f>IF(AND(VLOOKUP(Q$1,test!$A$3:$F$32,5,FALSE) - VLOOKUP($B94,test!$A$3:$G$32,6,FALSE) &gt;= (test!$B$35)/1440),1,0)</f>
        <v>0</v>
      </c>
      <c r="R94" s="3">
        <f>IF(AND(VLOOKUP(R$1,test!$A$3:$F$32,5,FALSE) - VLOOKUP($B94,test!$A$3:$G$32,6,FALSE) &gt;= (test!$B$35)/1440),1,0)</f>
        <v>0</v>
      </c>
      <c r="S94" s="3">
        <f>IF(AND(VLOOKUP(S$1,test!$A$3:$F$32,5,FALSE) - VLOOKUP($B94,test!$A$3:$G$32,6,FALSE) &gt;= (test!$B$35)/1440),1,0)</f>
        <v>0</v>
      </c>
      <c r="T94" s="3">
        <f>IF(AND(VLOOKUP(T$1,test!$A$3:$F$32,5,FALSE) - VLOOKUP($B94,test!$A$3:$G$32,6,FALSE) &gt;= (test!$B$35)/1440),1,0)</f>
        <v>0</v>
      </c>
      <c r="U94" s="3">
        <f>IF(AND(VLOOKUP(U$1,test!$A$3:$F$32,5,FALSE) - VLOOKUP($B94,test!$A$3:$G$32,6,FALSE) &gt;= (test!$B$35)/1440),1,0)</f>
        <v>0</v>
      </c>
      <c r="V94" s="3">
        <f>IF(AND(VLOOKUP(V$1,test!$A$3:$F$32,5,FALSE) - VLOOKUP($B94,test!$A$3:$G$32,6,FALSE) &gt;= (test!$B$35)/1440),1,0)</f>
        <v>0</v>
      </c>
      <c r="W94" s="3">
        <f>IF(AND(VLOOKUP(W$1,test!$A$3:$F$32,5,FALSE) - VLOOKUP($B94,test!$A$3:$G$32,6,FALSE) &gt;= (test!$B$35)/1440),1,0)</f>
        <v>0</v>
      </c>
      <c r="X94" s="3">
        <f>IF(AND(VLOOKUP(X$1,test!$A$3:$F$32,5,FALSE) - VLOOKUP($B94,test!$A$3:$G$32,6,FALSE) &gt;= (test!$B$35)/1440),1,0)</f>
        <v>0</v>
      </c>
      <c r="Y94" s="3">
        <f>IF(AND(VLOOKUP(Y$1,test!$A$3:$F$32,5,FALSE) - VLOOKUP($B94,test!$A$3:$G$32,6,FALSE) &gt;= (test!$B$35)/1440),1,0)</f>
        <v>0</v>
      </c>
      <c r="Z94" s="3">
        <f>IF(AND(VLOOKUP(Z$1,test!$A$3:$F$32,5,FALSE) - VLOOKUP($B94,test!$A$3:$G$32,6,FALSE) &gt;= (test!$B$35)/1440),1,0)</f>
        <v>0</v>
      </c>
      <c r="AA94" s="3">
        <f>IF(AND(VLOOKUP(AA$1,test!$A$3:$F$32,5,FALSE) - VLOOKUP($B94,test!$A$3:$G$32,6,FALSE) &gt;= (test!$B$35)/1440),1,0)</f>
        <v>0</v>
      </c>
      <c r="AB94" s="3">
        <f>IF(AND(VLOOKUP(AB$1,test!$A$3:$F$32,5,FALSE) - VLOOKUP($B94,test!$A$3:$G$32,6,FALSE) &gt;= (test!$B$35)/1440),1,0)</f>
        <v>0</v>
      </c>
      <c r="AC94" s="3">
        <f>IF(AND(VLOOKUP(AC$1,test!$A$3:$F$32,5,FALSE) - VLOOKUP($B94,test!$A$3:$G$32,6,FALSE) &gt;= (test!$B$35)/1440),1,0)</f>
        <v>0</v>
      </c>
      <c r="AD94" s="3">
        <f>IF(AND(VLOOKUP(AD$1,test!$A$3:$F$32,5,FALSE) - VLOOKUP($B94,test!$A$3:$G$32,6,FALSE) &gt;= (test!$B$35)/1440),1,0)</f>
        <v>0</v>
      </c>
      <c r="AE94" s="3">
        <f>IF(AND(VLOOKUP(AE$1,test!$A$3:$F$32,5,FALSE) - VLOOKUP($B94,test!$A$3:$G$32,6,FALSE) &gt;= (test!$B$35)/1440),1,0)</f>
        <v>0</v>
      </c>
      <c r="AF94" s="3">
        <f>IF(AND(VLOOKUP(AF$1,test!$A$3:$F$32,5,FALSE) - VLOOKUP($B94,test!$A$3:$G$32,6,FALSE) &gt;= (test!$B$35)/1440),1,0)</f>
        <v>0</v>
      </c>
      <c r="AG94" s="3">
        <f>IF(AND(VLOOKUP(AG$1,test!$A$3:$F$32,5,FALSE) - VLOOKUP($B94,test!$A$3:$G$32,6,FALSE) &gt;= (test!$B$35)/1440),1,0)</f>
        <v>0</v>
      </c>
    </row>
  </sheetData>
  <conditionalFormatting sqref="D3:AG32">
    <cfRule type="cellIs" dxfId="3" priority="3" operator="equal">
      <formula>1</formula>
    </cfRule>
  </conditionalFormatting>
  <conditionalFormatting sqref="D34:AG63">
    <cfRule type="cellIs" dxfId="2" priority="2" operator="equal">
      <formula>1</formula>
    </cfRule>
  </conditionalFormatting>
  <conditionalFormatting sqref="D65:AG94">
    <cfRule type="cellIs" dxfId="1" priority="1" operator="equal">
      <formula>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EF36-2DE6-4E7F-B863-53B7C0B41BB7}">
  <dimension ref="A1:AF32"/>
  <sheetViews>
    <sheetView workbookViewId="0">
      <selection activeCell="AF32" sqref="AF32"/>
    </sheetView>
  </sheetViews>
  <sheetFormatPr defaultRowHeight="15" x14ac:dyDescent="0.25"/>
  <sheetData>
    <row r="1" spans="1:32" x14ac:dyDescent="0.25">
      <c r="B1" t="s">
        <v>47</v>
      </c>
      <c r="C1" t="s">
        <v>6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18</v>
      </c>
      <c r="L1" t="s">
        <v>20</v>
      </c>
      <c r="M1" t="s">
        <v>21</v>
      </c>
      <c r="N1" t="s">
        <v>22</v>
      </c>
      <c r="O1" t="s">
        <v>23</v>
      </c>
      <c r="P1" t="s">
        <v>24</v>
      </c>
      <c r="Q1" t="s">
        <v>26</v>
      </c>
      <c r="R1" t="s">
        <v>27</v>
      </c>
      <c r="S1" t="s">
        <v>28</v>
      </c>
      <c r="T1" t="s">
        <v>29</v>
      </c>
      <c r="U1" t="s">
        <v>30</v>
      </c>
      <c r="V1" t="s">
        <v>31</v>
      </c>
      <c r="W1" t="s">
        <v>32</v>
      </c>
      <c r="X1" t="s">
        <v>33</v>
      </c>
      <c r="Y1" t="s">
        <v>34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</row>
    <row r="2" spans="1:32" x14ac:dyDescent="0.25">
      <c r="A2" t="s">
        <v>47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6</v>
      </c>
      <c r="B3">
        <v>0</v>
      </c>
      <c r="C3" s="3">
        <f>IF(AND(VLOOKUP(C$1,test!$A$3:$F$32,5,FALSE) - VLOOKUP($A3,test!$A$3:$G$32,6,FALSE) &gt;= (test!$B$33)/1440),1,0)</f>
        <v>0</v>
      </c>
      <c r="D3" s="3">
        <f>IF(AND(VLOOKUP(D$1,test!$A$3:$F$32,5,FALSE) - VLOOKUP($A3,test!$A$3:$G$32,6,FALSE) &gt;= (test!$B$33)/1440),1,0)</f>
        <v>0</v>
      </c>
      <c r="E3" s="3">
        <f>IF(AND(VLOOKUP(E$1,test!$A$3:$F$32,5,FALSE) - VLOOKUP($A3,test!$A$3:$G$32,6,FALSE) &gt;= (test!$B$33)/1440),1,0)</f>
        <v>1</v>
      </c>
      <c r="F3" s="3">
        <f>IF(AND(VLOOKUP(F$1,test!$A$3:$F$32,5,FALSE) - VLOOKUP($A3,test!$A$3:$G$32,6,FALSE) &gt;= (test!$B$33)/1440),1,0)</f>
        <v>1</v>
      </c>
      <c r="G3" s="3">
        <f>IF(AND(VLOOKUP(G$1,test!$A$3:$F$32,5,FALSE) - VLOOKUP($A3,test!$A$3:$G$32,6,FALSE) &gt;= (test!$B$33)/1440),1,0)</f>
        <v>1</v>
      </c>
      <c r="H3" s="3">
        <f>IF(AND(VLOOKUP(H$1,test!$A$3:$F$32,5,FALSE) - VLOOKUP($A3,test!$A$3:$G$32,6,FALSE) &gt;= (test!$B$33)/1440),1,0)</f>
        <v>1</v>
      </c>
      <c r="I3" s="3">
        <f>IF(AND(VLOOKUP(I$1,test!$A$3:$F$32,5,FALSE) - VLOOKUP($A3,test!$A$3:$G$32,6,FALSE) &gt;= (test!$B$33)/1440),1,0)</f>
        <v>1</v>
      </c>
      <c r="J3" s="3">
        <f>IF(AND(VLOOKUP(J$1,test!$A$3:$F$32,5,FALSE) - VLOOKUP($A3,test!$A$3:$G$32,6,FALSE) &gt;= (test!$B$33)/1440),1,0)</f>
        <v>1</v>
      </c>
      <c r="K3" s="3">
        <f>IF(AND(VLOOKUP(K$1,test!$A$3:$F$32,5,FALSE) - VLOOKUP($A3,test!$A$3:$G$32,6,FALSE) &gt;= (test!$B$33)/1440),1,0)</f>
        <v>0</v>
      </c>
      <c r="L3" s="3">
        <f>IF(AND(VLOOKUP(L$1,test!$A$3:$F$32,5,FALSE) - VLOOKUP($A3,test!$A$3:$G$32,6,FALSE) &gt;= (test!$B$33)/1440),1,0)</f>
        <v>0</v>
      </c>
      <c r="M3" s="3">
        <f>IF(AND(VLOOKUP(M$1,test!$A$3:$F$32,5,FALSE) - VLOOKUP($A3,test!$A$3:$G$32,6,FALSE) &gt;= (test!$B$33)/1440),1,0)</f>
        <v>1</v>
      </c>
      <c r="N3" s="3">
        <f>IF(AND(VLOOKUP(N$1,test!$A$3:$F$32,5,FALSE) - VLOOKUP($A3,test!$A$3:$G$32,6,FALSE) &gt;= (test!$B$33)/1440),1,0)</f>
        <v>1</v>
      </c>
      <c r="O3" s="3">
        <f>IF(AND(VLOOKUP(O$1,test!$A$3:$F$32,5,FALSE) - VLOOKUP($A3,test!$A$3:$G$32,6,FALSE) &gt;= (test!$B$33)/1440),1,0)</f>
        <v>1</v>
      </c>
      <c r="P3" s="3">
        <f>IF(AND(VLOOKUP(P$1,test!$A$3:$F$32,5,FALSE) - VLOOKUP($A3,test!$A$3:$G$32,6,FALSE) &gt;= (test!$B$33)/1440),1,0)</f>
        <v>0</v>
      </c>
      <c r="Q3" s="3">
        <f>IF(AND(VLOOKUP(Q$1,test!$A$3:$F$32,5,FALSE) - VLOOKUP($A3,test!$A$3:$G$32,6,FALSE) &gt;= (test!$B$33)/1440),1,0)</f>
        <v>0</v>
      </c>
      <c r="R3" s="3">
        <f>IF(AND(VLOOKUP(R$1,test!$A$3:$F$32,5,FALSE) - VLOOKUP($A3,test!$A$3:$G$32,6,FALSE) &gt;= (test!$B$33)/1440),1,0)</f>
        <v>0</v>
      </c>
      <c r="S3" s="3">
        <f>IF(AND(VLOOKUP(S$1,test!$A$3:$F$32,5,FALSE) - VLOOKUP($A3,test!$A$3:$G$32,6,FALSE) &gt;= (test!$B$33)/1440),1,0)</f>
        <v>0</v>
      </c>
      <c r="T3" s="3">
        <f>IF(AND(VLOOKUP(T$1,test!$A$3:$F$32,5,FALSE) - VLOOKUP($A3,test!$A$3:$G$32,6,FALSE) &gt;= (test!$B$33)/1440),1,0)</f>
        <v>1</v>
      </c>
      <c r="U3" s="3">
        <f>IF(AND(VLOOKUP(U$1,test!$A$3:$F$32,5,FALSE) - VLOOKUP($A3,test!$A$3:$G$32,6,FALSE) &gt;= (test!$B$33)/1440),1,0)</f>
        <v>1</v>
      </c>
      <c r="V3" s="3">
        <f>IF(AND(VLOOKUP(V$1,test!$A$3:$F$32,5,FALSE) - VLOOKUP($A3,test!$A$3:$G$32,6,FALSE) &gt;= (test!$B$33)/1440),1,0)</f>
        <v>1</v>
      </c>
      <c r="W3" s="3">
        <f>IF(AND(VLOOKUP(W$1,test!$A$3:$F$32,5,FALSE) - VLOOKUP($A3,test!$A$3:$G$32,6,FALSE) &gt;= (test!$B$33)/1440),1,0)</f>
        <v>1</v>
      </c>
      <c r="X3" s="3">
        <f>IF(AND(VLOOKUP(X$1,test!$A$3:$F$32,5,FALSE) - VLOOKUP($A3,test!$A$3:$G$32,6,FALSE) &gt;= (test!$B$33)/1440),1,0)</f>
        <v>1</v>
      </c>
      <c r="Y3" s="3">
        <f>IF(AND(VLOOKUP(Y$1,test!$A$3:$F$32,5,FALSE) - VLOOKUP($A3,test!$A$3:$G$32,6,FALSE) &gt;= (test!$B$33)/1440),1,0)</f>
        <v>0</v>
      </c>
      <c r="Z3" s="3">
        <f>IF(AND(VLOOKUP(Z$1,test!$A$3:$F$32,5,FALSE) - VLOOKUP($A3,test!$A$3:$G$32,6,FALSE) &gt;= (test!$B$33)/1440),1,0)</f>
        <v>0</v>
      </c>
      <c r="AA3" s="3">
        <f>IF(AND(VLOOKUP(AA$1,test!$A$3:$F$32,5,FALSE) - VLOOKUP($A3,test!$A$3:$G$32,6,FALSE) &gt;= (test!$B$33)/1440),1,0)</f>
        <v>1</v>
      </c>
      <c r="AB3" s="3">
        <f>IF(AND(VLOOKUP(AB$1,test!$A$3:$F$32,5,FALSE) - VLOOKUP($A3,test!$A$3:$G$32,6,FALSE) &gt;= (test!$B$33)/1440),1,0)</f>
        <v>1</v>
      </c>
      <c r="AC3" s="3">
        <f>IF(AND(VLOOKUP(AC$1,test!$A$3:$F$32,5,FALSE) - VLOOKUP($A3,test!$A$3:$G$32,6,FALSE) &gt;= (test!$B$33)/1440),1,0)</f>
        <v>1</v>
      </c>
      <c r="AD3" s="3">
        <f>IF(AND(VLOOKUP(AD$1,test!$A$3:$F$32,5,FALSE) - VLOOKUP($A3,test!$A$3:$G$32,6,FALSE) &gt;= (test!$B$33)/1440),1,0)</f>
        <v>0</v>
      </c>
      <c r="AE3" s="3">
        <f>IF(AND(VLOOKUP(AE$1,test!$A$3:$F$32,5,FALSE) - VLOOKUP($A3,test!$A$3:$G$32,6,FALSE) &gt;= (test!$B$33)/1440),1,0)</f>
        <v>1</v>
      </c>
      <c r="AF3" s="3">
        <f>IF(AND(VLOOKUP(AF$1,test!$A$3:$F$32,5,FALSE) - VLOOKUP($A3,test!$A$3:$G$32,6,FALSE) &gt;= (test!$B$33)/1440),1,0)</f>
        <v>1</v>
      </c>
    </row>
    <row r="4" spans="1:32" x14ac:dyDescent="0.25">
      <c r="A4" t="s">
        <v>9</v>
      </c>
      <c r="B4">
        <v>0</v>
      </c>
      <c r="C4" s="3">
        <f>IF(AND(VLOOKUP(C$1,test!$A$3:$F$32,5,FALSE) - VLOOKUP($A4,test!$A$3:$G$32,6,FALSE) &gt;= (test!$B$33)/1440),1,0)</f>
        <v>0</v>
      </c>
      <c r="D4" s="3">
        <f>IF(AND(VLOOKUP(D$1,test!$A$3:$F$32,5,FALSE) - VLOOKUP($A4,test!$A$3:$G$32,6,FALSE) &gt;= (test!$B$33)/1440),1,0)</f>
        <v>0</v>
      </c>
      <c r="E4" s="3">
        <f>IF(AND(VLOOKUP(E$1,test!$A$3:$F$32,5,FALSE) - VLOOKUP($A4,test!$A$3:$G$32,6,FALSE) &gt;= (test!$B$33)/1440),1,0)</f>
        <v>0</v>
      </c>
      <c r="F4" s="3">
        <f>IF(AND(VLOOKUP(F$1,test!$A$3:$F$32,5,FALSE) - VLOOKUP($A4,test!$A$3:$G$32,6,FALSE) &gt;= (test!$B$33)/1440),1,0)</f>
        <v>0</v>
      </c>
      <c r="G4" s="3">
        <f>IF(AND(VLOOKUP(G$1,test!$A$3:$F$32,5,FALSE) - VLOOKUP($A4,test!$A$3:$G$32,6,FALSE) &gt;= (test!$B$33)/1440),1,0)</f>
        <v>1</v>
      </c>
      <c r="H4" s="3">
        <f>IF(AND(VLOOKUP(H$1,test!$A$3:$F$32,5,FALSE) - VLOOKUP($A4,test!$A$3:$G$32,6,FALSE) &gt;= (test!$B$33)/1440),1,0)</f>
        <v>1</v>
      </c>
      <c r="I4" s="3">
        <f>IF(AND(VLOOKUP(I$1,test!$A$3:$F$32,5,FALSE) - VLOOKUP($A4,test!$A$3:$G$32,6,FALSE) &gt;= (test!$B$33)/1440),1,0)</f>
        <v>1</v>
      </c>
      <c r="J4" s="3">
        <f>IF(AND(VLOOKUP(J$1,test!$A$3:$F$32,5,FALSE) - VLOOKUP($A4,test!$A$3:$G$32,6,FALSE) &gt;= (test!$B$33)/1440),1,0)</f>
        <v>1</v>
      </c>
      <c r="K4" s="3">
        <f>IF(AND(VLOOKUP(K$1,test!$A$3:$F$32,5,FALSE) - VLOOKUP($A4,test!$A$3:$G$32,6,FALSE) &gt;= (test!$B$33)/1440),1,0)</f>
        <v>0</v>
      </c>
      <c r="L4" s="3">
        <f>IF(AND(VLOOKUP(L$1,test!$A$3:$F$32,5,FALSE) - VLOOKUP($A4,test!$A$3:$G$32,6,FALSE) &gt;= (test!$B$33)/1440),1,0)</f>
        <v>0</v>
      </c>
      <c r="M4" s="3">
        <f>IF(AND(VLOOKUP(M$1,test!$A$3:$F$32,5,FALSE) - VLOOKUP($A4,test!$A$3:$G$32,6,FALSE) &gt;= (test!$B$33)/1440),1,0)</f>
        <v>0</v>
      </c>
      <c r="N4" s="3">
        <f>IF(AND(VLOOKUP(N$1,test!$A$3:$F$32,5,FALSE) - VLOOKUP($A4,test!$A$3:$G$32,6,FALSE) &gt;= (test!$B$33)/1440),1,0)</f>
        <v>1</v>
      </c>
      <c r="O4" s="3">
        <f>IF(AND(VLOOKUP(O$1,test!$A$3:$F$32,5,FALSE) - VLOOKUP($A4,test!$A$3:$G$32,6,FALSE) &gt;= (test!$B$33)/1440),1,0)</f>
        <v>1</v>
      </c>
      <c r="P4" s="3">
        <f>IF(AND(VLOOKUP(P$1,test!$A$3:$F$32,5,FALSE) - VLOOKUP($A4,test!$A$3:$G$32,6,FALSE) &gt;= (test!$B$33)/1440),1,0)</f>
        <v>0</v>
      </c>
      <c r="Q4" s="3">
        <f>IF(AND(VLOOKUP(Q$1,test!$A$3:$F$32,5,FALSE) - VLOOKUP($A4,test!$A$3:$G$32,6,FALSE) &gt;= (test!$B$33)/1440),1,0)</f>
        <v>0</v>
      </c>
      <c r="R4" s="3">
        <f>IF(AND(VLOOKUP(R$1,test!$A$3:$F$32,5,FALSE) - VLOOKUP($A4,test!$A$3:$G$32,6,FALSE) &gt;= (test!$B$33)/1440),1,0)</f>
        <v>0</v>
      </c>
      <c r="S4" s="3">
        <f>IF(AND(VLOOKUP(S$1,test!$A$3:$F$32,5,FALSE) - VLOOKUP($A4,test!$A$3:$G$32,6,FALSE) &gt;= (test!$B$33)/1440),1,0)</f>
        <v>0</v>
      </c>
      <c r="T4" s="3">
        <f>IF(AND(VLOOKUP(T$1,test!$A$3:$F$32,5,FALSE) - VLOOKUP($A4,test!$A$3:$G$32,6,FALSE) &gt;= (test!$B$33)/1440),1,0)</f>
        <v>0</v>
      </c>
      <c r="U4" s="3">
        <f>IF(AND(VLOOKUP(U$1,test!$A$3:$F$32,5,FALSE) - VLOOKUP($A4,test!$A$3:$G$32,6,FALSE) &gt;= (test!$B$33)/1440),1,0)</f>
        <v>0</v>
      </c>
      <c r="V4" s="3">
        <f>IF(AND(VLOOKUP(V$1,test!$A$3:$F$32,5,FALSE) - VLOOKUP($A4,test!$A$3:$G$32,6,FALSE) &gt;= (test!$B$33)/1440),1,0)</f>
        <v>1</v>
      </c>
      <c r="W4" s="3">
        <f>IF(AND(VLOOKUP(W$1,test!$A$3:$F$32,5,FALSE) - VLOOKUP($A4,test!$A$3:$G$32,6,FALSE) &gt;= (test!$B$33)/1440),1,0)</f>
        <v>1</v>
      </c>
      <c r="X4" s="3">
        <f>IF(AND(VLOOKUP(X$1,test!$A$3:$F$32,5,FALSE) - VLOOKUP($A4,test!$A$3:$G$32,6,FALSE) &gt;= (test!$B$33)/1440),1,0)</f>
        <v>1</v>
      </c>
      <c r="Y4" s="3">
        <f>IF(AND(VLOOKUP(Y$1,test!$A$3:$F$32,5,FALSE) - VLOOKUP($A4,test!$A$3:$G$32,6,FALSE) &gt;= (test!$B$33)/1440),1,0)</f>
        <v>0</v>
      </c>
      <c r="Z4" s="3">
        <f>IF(AND(VLOOKUP(Z$1,test!$A$3:$F$32,5,FALSE) - VLOOKUP($A4,test!$A$3:$G$32,6,FALSE) &gt;= (test!$B$33)/1440),1,0)</f>
        <v>0</v>
      </c>
      <c r="AA4" s="3">
        <f>IF(AND(VLOOKUP(AA$1,test!$A$3:$F$32,5,FALSE) - VLOOKUP($A4,test!$A$3:$G$32,6,FALSE) &gt;= (test!$B$33)/1440),1,0)</f>
        <v>0</v>
      </c>
      <c r="AB4" s="3">
        <f>IF(AND(VLOOKUP(AB$1,test!$A$3:$F$32,5,FALSE) - VLOOKUP($A4,test!$A$3:$G$32,6,FALSE) &gt;= (test!$B$33)/1440),1,0)</f>
        <v>0</v>
      </c>
      <c r="AC4" s="3">
        <f>IF(AND(VLOOKUP(AC$1,test!$A$3:$F$32,5,FALSE) - VLOOKUP($A4,test!$A$3:$G$32,6,FALSE) &gt;= (test!$B$33)/1440),1,0)</f>
        <v>1</v>
      </c>
      <c r="AD4" s="3">
        <f>IF(AND(VLOOKUP(AD$1,test!$A$3:$F$32,5,FALSE) - VLOOKUP($A4,test!$A$3:$G$32,6,FALSE) &gt;= (test!$B$33)/1440),1,0)</f>
        <v>0</v>
      </c>
      <c r="AE4" s="3">
        <f>IF(AND(VLOOKUP(AE$1,test!$A$3:$F$32,5,FALSE) - VLOOKUP($A4,test!$A$3:$G$32,6,FALSE) &gt;= (test!$B$33)/1440),1,0)</f>
        <v>0</v>
      </c>
      <c r="AF4" s="3">
        <f>IF(AND(VLOOKUP(AF$1,test!$A$3:$F$32,5,FALSE) - VLOOKUP($A4,test!$A$3:$G$32,6,FALSE) &gt;= (test!$B$33)/1440),1,0)</f>
        <v>0</v>
      </c>
    </row>
    <row r="5" spans="1:32" x14ac:dyDescent="0.25">
      <c r="A5" t="s">
        <v>10</v>
      </c>
      <c r="B5">
        <v>0</v>
      </c>
      <c r="C5" s="3">
        <f>IF(AND(VLOOKUP(C$1,test!$A$3:$F$32,5,FALSE) - VLOOKUP($A5,test!$A$3:$G$32,6,FALSE) &gt;= (test!$B$33)/1440),1,0)</f>
        <v>0</v>
      </c>
      <c r="D5" s="3">
        <f>IF(AND(VLOOKUP(D$1,test!$A$3:$F$32,5,FALSE) - VLOOKUP($A5,test!$A$3:$G$32,6,FALSE) &gt;= (test!$B$33)/1440),1,0)</f>
        <v>0</v>
      </c>
      <c r="E5" s="3">
        <f>IF(AND(VLOOKUP(E$1,test!$A$3:$F$32,5,FALSE) - VLOOKUP($A5,test!$A$3:$G$32,6,FALSE) &gt;= (test!$B$33)/1440),1,0)</f>
        <v>0</v>
      </c>
      <c r="F5" s="3">
        <f>IF(AND(VLOOKUP(F$1,test!$A$3:$F$32,5,FALSE) - VLOOKUP($A5,test!$A$3:$G$32,6,FALSE) &gt;= (test!$B$33)/1440),1,0)</f>
        <v>0</v>
      </c>
      <c r="G5" s="3">
        <f>IF(AND(VLOOKUP(G$1,test!$A$3:$F$32,5,FALSE) - VLOOKUP($A5,test!$A$3:$G$32,6,FALSE) &gt;= (test!$B$33)/1440),1,0)</f>
        <v>0</v>
      </c>
      <c r="H5" s="3">
        <f>IF(AND(VLOOKUP(H$1,test!$A$3:$F$32,5,FALSE) - VLOOKUP($A5,test!$A$3:$G$32,6,FALSE) &gt;= (test!$B$33)/1440),1,0)</f>
        <v>1</v>
      </c>
      <c r="I5" s="3">
        <f>IF(AND(VLOOKUP(I$1,test!$A$3:$F$32,5,FALSE) - VLOOKUP($A5,test!$A$3:$G$32,6,FALSE) &gt;= (test!$B$33)/1440),1,0)</f>
        <v>1</v>
      </c>
      <c r="J5" s="3">
        <f>IF(AND(VLOOKUP(J$1,test!$A$3:$F$32,5,FALSE) - VLOOKUP($A5,test!$A$3:$G$32,6,FALSE) &gt;= (test!$B$33)/1440),1,0)</f>
        <v>1</v>
      </c>
      <c r="K5" s="3">
        <f>IF(AND(VLOOKUP(K$1,test!$A$3:$F$32,5,FALSE) - VLOOKUP($A5,test!$A$3:$G$32,6,FALSE) &gt;= (test!$B$33)/1440),1,0)</f>
        <v>0</v>
      </c>
      <c r="L5" s="3">
        <f>IF(AND(VLOOKUP(L$1,test!$A$3:$F$32,5,FALSE) - VLOOKUP($A5,test!$A$3:$G$32,6,FALSE) &gt;= (test!$B$33)/1440),1,0)</f>
        <v>0</v>
      </c>
      <c r="M5" s="3">
        <f>IF(AND(VLOOKUP(M$1,test!$A$3:$F$32,5,FALSE) - VLOOKUP($A5,test!$A$3:$G$32,6,FALSE) &gt;= (test!$B$33)/1440),1,0)</f>
        <v>0</v>
      </c>
      <c r="N5" s="3">
        <f>IF(AND(VLOOKUP(N$1,test!$A$3:$F$32,5,FALSE) - VLOOKUP($A5,test!$A$3:$G$32,6,FALSE) &gt;= (test!$B$33)/1440),1,0)</f>
        <v>1</v>
      </c>
      <c r="O5" s="3">
        <f>IF(AND(VLOOKUP(O$1,test!$A$3:$F$32,5,FALSE) - VLOOKUP($A5,test!$A$3:$G$32,6,FALSE) &gt;= (test!$B$33)/1440),1,0)</f>
        <v>1</v>
      </c>
      <c r="P5" s="3">
        <f>IF(AND(VLOOKUP(P$1,test!$A$3:$F$32,5,FALSE) - VLOOKUP($A5,test!$A$3:$G$32,6,FALSE) &gt;= (test!$B$33)/1440),1,0)</f>
        <v>0</v>
      </c>
      <c r="Q5" s="3">
        <f>IF(AND(VLOOKUP(Q$1,test!$A$3:$F$32,5,FALSE) - VLOOKUP($A5,test!$A$3:$G$32,6,FALSE) &gt;= (test!$B$33)/1440),1,0)</f>
        <v>0</v>
      </c>
      <c r="R5" s="3">
        <f>IF(AND(VLOOKUP(R$1,test!$A$3:$F$32,5,FALSE) - VLOOKUP($A5,test!$A$3:$G$32,6,FALSE) &gt;= (test!$B$33)/1440),1,0)</f>
        <v>0</v>
      </c>
      <c r="S5" s="3">
        <f>IF(AND(VLOOKUP(S$1,test!$A$3:$F$32,5,FALSE) - VLOOKUP($A5,test!$A$3:$G$32,6,FALSE) &gt;= (test!$B$33)/1440),1,0)</f>
        <v>0</v>
      </c>
      <c r="T5" s="3">
        <f>IF(AND(VLOOKUP(T$1,test!$A$3:$F$32,5,FALSE) - VLOOKUP($A5,test!$A$3:$G$32,6,FALSE) &gt;= (test!$B$33)/1440),1,0)</f>
        <v>0</v>
      </c>
      <c r="U5" s="3">
        <f>IF(AND(VLOOKUP(U$1,test!$A$3:$F$32,5,FALSE) - VLOOKUP($A5,test!$A$3:$G$32,6,FALSE) &gt;= (test!$B$33)/1440),1,0)</f>
        <v>0</v>
      </c>
      <c r="V5" s="3">
        <f>IF(AND(VLOOKUP(V$1,test!$A$3:$F$32,5,FALSE) - VLOOKUP($A5,test!$A$3:$G$32,6,FALSE) &gt;= (test!$B$33)/1440),1,0)</f>
        <v>0</v>
      </c>
      <c r="W5" s="3">
        <f>IF(AND(VLOOKUP(W$1,test!$A$3:$F$32,5,FALSE) - VLOOKUP($A5,test!$A$3:$G$32,6,FALSE) &gt;= (test!$B$33)/1440),1,0)</f>
        <v>1</v>
      </c>
      <c r="X5" s="3">
        <f>IF(AND(VLOOKUP(X$1,test!$A$3:$F$32,5,FALSE) - VLOOKUP($A5,test!$A$3:$G$32,6,FALSE) &gt;= (test!$B$33)/1440),1,0)</f>
        <v>1</v>
      </c>
      <c r="Y5" s="3">
        <f>IF(AND(VLOOKUP(Y$1,test!$A$3:$F$32,5,FALSE) - VLOOKUP($A5,test!$A$3:$G$32,6,FALSE) &gt;= (test!$B$33)/1440),1,0)</f>
        <v>0</v>
      </c>
      <c r="Z5" s="3">
        <f>IF(AND(VLOOKUP(Z$1,test!$A$3:$F$32,5,FALSE) - VLOOKUP($A5,test!$A$3:$G$32,6,FALSE) &gt;= (test!$B$33)/1440),1,0)</f>
        <v>0</v>
      </c>
      <c r="AA5" s="3">
        <f>IF(AND(VLOOKUP(AA$1,test!$A$3:$F$32,5,FALSE) - VLOOKUP($A5,test!$A$3:$G$32,6,FALSE) &gt;= (test!$B$33)/1440),1,0)</f>
        <v>0</v>
      </c>
      <c r="AB5" s="3">
        <f>IF(AND(VLOOKUP(AB$1,test!$A$3:$F$32,5,FALSE) - VLOOKUP($A5,test!$A$3:$G$32,6,FALSE) &gt;= (test!$B$33)/1440),1,0)</f>
        <v>0</v>
      </c>
      <c r="AC5" s="3">
        <f>IF(AND(VLOOKUP(AC$1,test!$A$3:$F$32,5,FALSE) - VLOOKUP($A5,test!$A$3:$G$32,6,FALSE) &gt;= (test!$B$33)/1440),1,0)</f>
        <v>1</v>
      </c>
      <c r="AD5" s="3">
        <f>IF(AND(VLOOKUP(AD$1,test!$A$3:$F$32,5,FALSE) - VLOOKUP($A5,test!$A$3:$G$32,6,FALSE) &gt;= (test!$B$33)/1440),1,0)</f>
        <v>0</v>
      </c>
      <c r="AE5" s="3">
        <f>IF(AND(VLOOKUP(AE$1,test!$A$3:$F$32,5,FALSE) - VLOOKUP($A5,test!$A$3:$G$32,6,FALSE) &gt;= (test!$B$33)/1440),1,0)</f>
        <v>0</v>
      </c>
      <c r="AF5" s="3">
        <f>IF(AND(VLOOKUP(AF$1,test!$A$3:$F$32,5,FALSE) - VLOOKUP($A5,test!$A$3:$G$32,6,FALSE) &gt;= (test!$B$33)/1440),1,0)</f>
        <v>0</v>
      </c>
    </row>
    <row r="6" spans="1:32" x14ac:dyDescent="0.25">
      <c r="A6" t="s">
        <v>11</v>
      </c>
      <c r="B6">
        <v>0</v>
      </c>
      <c r="C6" s="3">
        <f>IF(AND(VLOOKUP(C$1,test!$A$3:$F$32,5,FALSE) - VLOOKUP($A6,test!$A$3:$G$32,6,FALSE) &gt;= (test!$B$33)/1440),1,0)</f>
        <v>0</v>
      </c>
      <c r="D6" s="3">
        <f>IF(AND(VLOOKUP(D$1,test!$A$3:$F$32,5,FALSE) - VLOOKUP($A6,test!$A$3:$G$32,6,FALSE) &gt;= (test!$B$33)/1440),1,0)</f>
        <v>0</v>
      </c>
      <c r="E6" s="3">
        <f>IF(AND(VLOOKUP(E$1,test!$A$3:$F$32,5,FALSE) - VLOOKUP($A6,test!$A$3:$G$32,6,FALSE) &gt;= (test!$B$33)/1440),1,0)</f>
        <v>0</v>
      </c>
      <c r="F6" s="3">
        <f>IF(AND(VLOOKUP(F$1,test!$A$3:$F$32,5,FALSE) - VLOOKUP($A6,test!$A$3:$G$32,6,FALSE) &gt;= (test!$B$33)/1440),1,0)</f>
        <v>0</v>
      </c>
      <c r="G6" s="3">
        <f>IF(AND(VLOOKUP(G$1,test!$A$3:$F$32,5,FALSE) - VLOOKUP($A6,test!$A$3:$G$32,6,FALSE) &gt;= (test!$B$33)/1440),1,0)</f>
        <v>0</v>
      </c>
      <c r="H6" s="3">
        <f>IF(AND(VLOOKUP(H$1,test!$A$3:$F$32,5,FALSE) - VLOOKUP($A6,test!$A$3:$G$32,6,FALSE) &gt;= (test!$B$33)/1440),1,0)</f>
        <v>0</v>
      </c>
      <c r="I6" s="3">
        <f>IF(AND(VLOOKUP(I$1,test!$A$3:$F$32,5,FALSE) - VLOOKUP($A6,test!$A$3:$G$32,6,FALSE) &gt;= (test!$B$33)/1440),1,0)</f>
        <v>0</v>
      </c>
      <c r="J6" s="3">
        <f>IF(AND(VLOOKUP(J$1,test!$A$3:$F$32,5,FALSE) - VLOOKUP($A6,test!$A$3:$G$32,6,FALSE) &gt;= (test!$B$33)/1440),1,0)</f>
        <v>1</v>
      </c>
      <c r="K6" s="3">
        <f>IF(AND(VLOOKUP(K$1,test!$A$3:$F$32,5,FALSE) - VLOOKUP($A6,test!$A$3:$G$32,6,FALSE) &gt;= (test!$B$33)/1440),1,0)</f>
        <v>0</v>
      </c>
      <c r="L6" s="3">
        <f>IF(AND(VLOOKUP(L$1,test!$A$3:$F$32,5,FALSE) - VLOOKUP($A6,test!$A$3:$G$32,6,FALSE) &gt;= (test!$B$33)/1440),1,0)</f>
        <v>0</v>
      </c>
      <c r="M6" s="3">
        <f>IF(AND(VLOOKUP(M$1,test!$A$3:$F$32,5,FALSE) - VLOOKUP($A6,test!$A$3:$G$32,6,FALSE) &gt;= (test!$B$33)/1440),1,0)</f>
        <v>0</v>
      </c>
      <c r="N6" s="3">
        <f>IF(AND(VLOOKUP(N$1,test!$A$3:$F$32,5,FALSE) - VLOOKUP($A6,test!$A$3:$G$32,6,FALSE) &gt;= (test!$B$33)/1440),1,0)</f>
        <v>1</v>
      </c>
      <c r="O6" s="3">
        <f>IF(AND(VLOOKUP(O$1,test!$A$3:$F$32,5,FALSE) - VLOOKUP($A6,test!$A$3:$G$32,6,FALSE) &gt;= (test!$B$33)/1440),1,0)</f>
        <v>1</v>
      </c>
      <c r="P6" s="3">
        <f>IF(AND(VLOOKUP(P$1,test!$A$3:$F$32,5,FALSE) - VLOOKUP($A6,test!$A$3:$G$32,6,FALSE) &gt;= (test!$B$33)/1440),1,0)</f>
        <v>0</v>
      </c>
      <c r="Q6" s="3">
        <f>IF(AND(VLOOKUP(Q$1,test!$A$3:$F$32,5,FALSE) - VLOOKUP($A6,test!$A$3:$G$32,6,FALSE) &gt;= (test!$B$33)/1440),1,0)</f>
        <v>0</v>
      </c>
      <c r="R6" s="3">
        <f>IF(AND(VLOOKUP(R$1,test!$A$3:$F$32,5,FALSE) - VLOOKUP($A6,test!$A$3:$G$32,6,FALSE) &gt;= (test!$B$33)/1440),1,0)</f>
        <v>0</v>
      </c>
      <c r="S6" s="3">
        <f>IF(AND(VLOOKUP(S$1,test!$A$3:$F$32,5,FALSE) - VLOOKUP($A6,test!$A$3:$G$32,6,FALSE) &gt;= (test!$B$33)/1440),1,0)</f>
        <v>0</v>
      </c>
      <c r="T6" s="3">
        <f>IF(AND(VLOOKUP(T$1,test!$A$3:$F$32,5,FALSE) - VLOOKUP($A6,test!$A$3:$G$32,6,FALSE) &gt;= (test!$B$33)/1440),1,0)</f>
        <v>0</v>
      </c>
      <c r="U6" s="3">
        <f>IF(AND(VLOOKUP(U$1,test!$A$3:$F$32,5,FALSE) - VLOOKUP($A6,test!$A$3:$G$32,6,FALSE) &gt;= (test!$B$33)/1440),1,0)</f>
        <v>0</v>
      </c>
      <c r="V6" s="3">
        <f>IF(AND(VLOOKUP(V$1,test!$A$3:$F$32,5,FALSE) - VLOOKUP($A6,test!$A$3:$G$32,6,FALSE) &gt;= (test!$B$33)/1440),1,0)</f>
        <v>0</v>
      </c>
      <c r="W6" s="3">
        <f>IF(AND(VLOOKUP(W$1,test!$A$3:$F$32,5,FALSE) - VLOOKUP($A6,test!$A$3:$G$32,6,FALSE) &gt;= (test!$B$33)/1440),1,0)</f>
        <v>0</v>
      </c>
      <c r="X6" s="3">
        <f>IF(AND(VLOOKUP(X$1,test!$A$3:$F$32,5,FALSE) - VLOOKUP($A6,test!$A$3:$G$32,6,FALSE) &gt;= (test!$B$33)/1440),1,0)</f>
        <v>1</v>
      </c>
      <c r="Y6" s="3">
        <f>IF(AND(VLOOKUP(Y$1,test!$A$3:$F$32,5,FALSE) - VLOOKUP($A6,test!$A$3:$G$32,6,FALSE) &gt;= (test!$B$33)/1440),1,0)</f>
        <v>0</v>
      </c>
      <c r="Z6" s="3">
        <f>IF(AND(VLOOKUP(Z$1,test!$A$3:$F$32,5,FALSE) - VLOOKUP($A6,test!$A$3:$G$32,6,FALSE) &gt;= (test!$B$33)/1440),1,0)</f>
        <v>0</v>
      </c>
      <c r="AA6" s="3">
        <f>IF(AND(VLOOKUP(AA$1,test!$A$3:$F$32,5,FALSE) - VLOOKUP($A6,test!$A$3:$G$32,6,FALSE) &gt;= (test!$B$33)/1440),1,0)</f>
        <v>0</v>
      </c>
      <c r="AB6" s="3">
        <f>IF(AND(VLOOKUP(AB$1,test!$A$3:$F$32,5,FALSE) - VLOOKUP($A6,test!$A$3:$G$32,6,FALSE) &gt;= (test!$B$33)/1440),1,0)</f>
        <v>0</v>
      </c>
      <c r="AC6" s="3">
        <f>IF(AND(VLOOKUP(AC$1,test!$A$3:$F$32,5,FALSE) - VLOOKUP($A6,test!$A$3:$G$32,6,FALSE) &gt;= (test!$B$33)/1440),1,0)</f>
        <v>0</v>
      </c>
      <c r="AD6" s="3">
        <f>IF(AND(VLOOKUP(AD$1,test!$A$3:$F$32,5,FALSE) - VLOOKUP($A6,test!$A$3:$G$32,6,FALSE) &gt;= (test!$B$33)/1440),1,0)</f>
        <v>0</v>
      </c>
      <c r="AE6" s="3">
        <f>IF(AND(VLOOKUP(AE$1,test!$A$3:$F$32,5,FALSE) - VLOOKUP($A6,test!$A$3:$G$32,6,FALSE) &gt;= (test!$B$33)/1440),1,0)</f>
        <v>0</v>
      </c>
      <c r="AF6" s="3">
        <f>IF(AND(VLOOKUP(AF$1,test!$A$3:$F$32,5,FALSE) - VLOOKUP($A6,test!$A$3:$G$32,6,FALSE) &gt;= (test!$B$33)/1440),1,0)</f>
        <v>0</v>
      </c>
    </row>
    <row r="7" spans="1:32" x14ac:dyDescent="0.25">
      <c r="A7" t="s">
        <v>12</v>
      </c>
      <c r="B7">
        <v>0</v>
      </c>
      <c r="C7" s="3">
        <f>IF(AND(VLOOKUP(C$1,test!$A$3:$F$32,5,FALSE) - VLOOKUP($A7,test!$A$3:$G$32,6,FALSE) &gt;= (test!$B$33)/1440),1,0)</f>
        <v>0</v>
      </c>
      <c r="D7" s="3">
        <f>IF(AND(VLOOKUP(D$1,test!$A$3:$F$32,5,FALSE) - VLOOKUP($A7,test!$A$3:$G$32,6,FALSE) &gt;= (test!$B$33)/1440),1,0)</f>
        <v>0</v>
      </c>
      <c r="E7" s="3">
        <f>IF(AND(VLOOKUP(E$1,test!$A$3:$F$32,5,FALSE) - VLOOKUP($A7,test!$A$3:$G$32,6,FALSE) &gt;= (test!$B$33)/1440),1,0)</f>
        <v>0</v>
      </c>
      <c r="F7" s="3">
        <f>IF(AND(VLOOKUP(F$1,test!$A$3:$F$32,5,FALSE) - VLOOKUP($A7,test!$A$3:$G$32,6,FALSE) &gt;= (test!$B$33)/1440),1,0)</f>
        <v>0</v>
      </c>
      <c r="G7" s="3">
        <f>IF(AND(VLOOKUP(G$1,test!$A$3:$F$32,5,FALSE) - VLOOKUP($A7,test!$A$3:$G$32,6,FALSE) &gt;= (test!$B$33)/1440),1,0)</f>
        <v>0</v>
      </c>
      <c r="H7" s="3">
        <f>IF(AND(VLOOKUP(H$1,test!$A$3:$F$32,5,FALSE) - VLOOKUP($A7,test!$A$3:$G$32,6,FALSE) &gt;= (test!$B$33)/1440),1,0)</f>
        <v>0</v>
      </c>
      <c r="I7" s="3">
        <f>IF(AND(VLOOKUP(I$1,test!$A$3:$F$32,5,FALSE) - VLOOKUP($A7,test!$A$3:$G$32,6,FALSE) &gt;= (test!$B$33)/1440),1,0)</f>
        <v>0</v>
      </c>
      <c r="J7" s="3">
        <f>IF(AND(VLOOKUP(J$1,test!$A$3:$F$32,5,FALSE) - VLOOKUP($A7,test!$A$3:$G$32,6,FALSE) &gt;= (test!$B$33)/1440),1,0)</f>
        <v>1</v>
      </c>
      <c r="K7" s="3">
        <f>IF(AND(VLOOKUP(K$1,test!$A$3:$F$32,5,FALSE) - VLOOKUP($A7,test!$A$3:$G$32,6,FALSE) &gt;= (test!$B$33)/1440),1,0)</f>
        <v>0</v>
      </c>
      <c r="L7" s="3">
        <f>IF(AND(VLOOKUP(L$1,test!$A$3:$F$32,5,FALSE) - VLOOKUP($A7,test!$A$3:$G$32,6,FALSE) &gt;= (test!$B$33)/1440),1,0)</f>
        <v>0</v>
      </c>
      <c r="M7" s="3">
        <f>IF(AND(VLOOKUP(M$1,test!$A$3:$F$32,5,FALSE) - VLOOKUP($A7,test!$A$3:$G$32,6,FALSE) &gt;= (test!$B$33)/1440),1,0)</f>
        <v>0</v>
      </c>
      <c r="N7" s="3">
        <f>IF(AND(VLOOKUP(N$1,test!$A$3:$F$32,5,FALSE) - VLOOKUP($A7,test!$A$3:$G$32,6,FALSE) &gt;= (test!$B$33)/1440),1,0)</f>
        <v>0</v>
      </c>
      <c r="O7" s="3">
        <f>IF(AND(VLOOKUP(O$1,test!$A$3:$F$32,5,FALSE) - VLOOKUP($A7,test!$A$3:$G$32,6,FALSE) &gt;= (test!$B$33)/1440),1,0)</f>
        <v>1</v>
      </c>
      <c r="P7" s="3">
        <f>IF(AND(VLOOKUP(P$1,test!$A$3:$F$32,5,FALSE) - VLOOKUP($A7,test!$A$3:$G$32,6,FALSE) &gt;= (test!$B$33)/1440),1,0)</f>
        <v>0</v>
      </c>
      <c r="Q7" s="3">
        <f>IF(AND(VLOOKUP(Q$1,test!$A$3:$F$32,5,FALSE) - VLOOKUP($A7,test!$A$3:$G$32,6,FALSE) &gt;= (test!$B$33)/1440),1,0)</f>
        <v>0</v>
      </c>
      <c r="R7" s="3">
        <f>IF(AND(VLOOKUP(R$1,test!$A$3:$F$32,5,FALSE) - VLOOKUP($A7,test!$A$3:$G$32,6,FALSE) &gt;= (test!$B$33)/1440),1,0)</f>
        <v>0</v>
      </c>
      <c r="S7" s="3">
        <f>IF(AND(VLOOKUP(S$1,test!$A$3:$F$32,5,FALSE) - VLOOKUP($A7,test!$A$3:$G$32,6,FALSE) &gt;= (test!$B$33)/1440),1,0)</f>
        <v>0</v>
      </c>
      <c r="T7" s="3">
        <f>IF(AND(VLOOKUP(T$1,test!$A$3:$F$32,5,FALSE) - VLOOKUP($A7,test!$A$3:$G$32,6,FALSE) &gt;= (test!$B$33)/1440),1,0)</f>
        <v>0</v>
      </c>
      <c r="U7" s="3">
        <f>IF(AND(VLOOKUP(U$1,test!$A$3:$F$32,5,FALSE) - VLOOKUP($A7,test!$A$3:$G$32,6,FALSE) &gt;= (test!$B$33)/1440),1,0)</f>
        <v>0</v>
      </c>
      <c r="V7" s="3">
        <f>IF(AND(VLOOKUP(V$1,test!$A$3:$F$32,5,FALSE) - VLOOKUP($A7,test!$A$3:$G$32,6,FALSE) &gt;= (test!$B$33)/1440),1,0)</f>
        <v>0</v>
      </c>
      <c r="W7" s="3">
        <f>IF(AND(VLOOKUP(W$1,test!$A$3:$F$32,5,FALSE) - VLOOKUP($A7,test!$A$3:$G$32,6,FALSE) &gt;= (test!$B$33)/1440),1,0)</f>
        <v>0</v>
      </c>
      <c r="X7" s="3">
        <f>IF(AND(VLOOKUP(X$1,test!$A$3:$F$32,5,FALSE) - VLOOKUP($A7,test!$A$3:$G$32,6,FALSE) &gt;= (test!$B$33)/1440),1,0)</f>
        <v>0</v>
      </c>
      <c r="Y7" s="3">
        <f>IF(AND(VLOOKUP(Y$1,test!$A$3:$F$32,5,FALSE) - VLOOKUP($A7,test!$A$3:$G$32,6,FALSE) &gt;= (test!$B$33)/1440),1,0)</f>
        <v>0</v>
      </c>
      <c r="Z7" s="3">
        <f>IF(AND(VLOOKUP(Z$1,test!$A$3:$F$32,5,FALSE) - VLOOKUP($A7,test!$A$3:$G$32,6,FALSE) &gt;= (test!$B$33)/1440),1,0)</f>
        <v>0</v>
      </c>
      <c r="AA7" s="3">
        <f>IF(AND(VLOOKUP(AA$1,test!$A$3:$F$32,5,FALSE) - VLOOKUP($A7,test!$A$3:$G$32,6,FALSE) &gt;= (test!$B$33)/1440),1,0)</f>
        <v>0</v>
      </c>
      <c r="AB7" s="3">
        <f>IF(AND(VLOOKUP(AB$1,test!$A$3:$F$32,5,FALSE) - VLOOKUP($A7,test!$A$3:$G$32,6,FALSE) &gt;= (test!$B$33)/1440),1,0)</f>
        <v>0</v>
      </c>
      <c r="AC7" s="3">
        <f>IF(AND(VLOOKUP(AC$1,test!$A$3:$F$32,5,FALSE) - VLOOKUP($A7,test!$A$3:$G$32,6,FALSE) &gt;= (test!$B$33)/1440),1,0)</f>
        <v>0</v>
      </c>
      <c r="AD7" s="3">
        <f>IF(AND(VLOOKUP(AD$1,test!$A$3:$F$32,5,FALSE) - VLOOKUP($A7,test!$A$3:$G$32,6,FALSE) &gt;= (test!$B$33)/1440),1,0)</f>
        <v>0</v>
      </c>
      <c r="AE7" s="3">
        <f>IF(AND(VLOOKUP(AE$1,test!$A$3:$F$32,5,FALSE) - VLOOKUP($A7,test!$A$3:$G$32,6,FALSE) &gt;= (test!$B$33)/1440),1,0)</f>
        <v>0</v>
      </c>
      <c r="AF7" s="3">
        <f>IF(AND(VLOOKUP(AF$1,test!$A$3:$F$32,5,FALSE) - VLOOKUP($A7,test!$A$3:$G$32,6,FALSE) &gt;= (test!$B$33)/1440),1,0)</f>
        <v>0</v>
      </c>
    </row>
    <row r="8" spans="1:32" x14ac:dyDescent="0.25">
      <c r="A8" t="s">
        <v>13</v>
      </c>
      <c r="B8">
        <v>0</v>
      </c>
      <c r="C8" s="3">
        <f>IF(AND(VLOOKUP(C$1,test!$A$3:$F$32,5,FALSE) - VLOOKUP($A8,test!$A$3:$G$32,6,FALSE) &gt;= (test!$B$33)/1440),1,0)</f>
        <v>0</v>
      </c>
      <c r="D8" s="3">
        <f>IF(AND(VLOOKUP(D$1,test!$A$3:$F$32,5,FALSE) - VLOOKUP($A8,test!$A$3:$G$32,6,FALSE) &gt;= (test!$B$33)/1440),1,0)</f>
        <v>0</v>
      </c>
      <c r="E8" s="3">
        <f>IF(AND(VLOOKUP(E$1,test!$A$3:$F$32,5,FALSE) - VLOOKUP($A8,test!$A$3:$G$32,6,FALSE) &gt;= (test!$B$33)/1440),1,0)</f>
        <v>0</v>
      </c>
      <c r="F8" s="3">
        <f>IF(AND(VLOOKUP(F$1,test!$A$3:$F$32,5,FALSE) - VLOOKUP($A8,test!$A$3:$G$32,6,FALSE) &gt;= (test!$B$33)/1440),1,0)</f>
        <v>0</v>
      </c>
      <c r="G8" s="3">
        <f>IF(AND(VLOOKUP(G$1,test!$A$3:$F$32,5,FALSE) - VLOOKUP($A8,test!$A$3:$G$32,6,FALSE) &gt;= (test!$B$33)/1440),1,0)</f>
        <v>0</v>
      </c>
      <c r="H8" s="3">
        <f>IF(AND(VLOOKUP(H$1,test!$A$3:$F$32,5,FALSE) - VLOOKUP($A8,test!$A$3:$G$32,6,FALSE) &gt;= (test!$B$33)/1440),1,0)</f>
        <v>0</v>
      </c>
      <c r="I8" s="3">
        <f>IF(AND(VLOOKUP(I$1,test!$A$3:$F$32,5,FALSE) - VLOOKUP($A8,test!$A$3:$G$32,6,FALSE) &gt;= (test!$B$33)/1440),1,0)</f>
        <v>0</v>
      </c>
      <c r="J8" s="3">
        <f>IF(AND(VLOOKUP(J$1,test!$A$3:$F$32,5,FALSE) - VLOOKUP($A8,test!$A$3:$G$32,6,FALSE) &gt;= (test!$B$33)/1440),1,0)</f>
        <v>0</v>
      </c>
      <c r="K8" s="3">
        <f>IF(AND(VLOOKUP(K$1,test!$A$3:$F$32,5,FALSE) - VLOOKUP($A8,test!$A$3:$G$32,6,FALSE) &gt;= (test!$B$33)/1440),1,0)</f>
        <v>0</v>
      </c>
      <c r="L8" s="3">
        <f>IF(AND(VLOOKUP(L$1,test!$A$3:$F$32,5,FALSE) - VLOOKUP($A8,test!$A$3:$G$32,6,FALSE) &gt;= (test!$B$33)/1440),1,0)</f>
        <v>0</v>
      </c>
      <c r="M8" s="3">
        <f>IF(AND(VLOOKUP(M$1,test!$A$3:$F$32,5,FALSE) - VLOOKUP($A8,test!$A$3:$G$32,6,FALSE) &gt;= (test!$B$33)/1440),1,0)</f>
        <v>0</v>
      </c>
      <c r="N8" s="3">
        <f>IF(AND(VLOOKUP(N$1,test!$A$3:$F$32,5,FALSE) - VLOOKUP($A8,test!$A$3:$G$32,6,FALSE) &gt;= (test!$B$33)/1440),1,0)</f>
        <v>0</v>
      </c>
      <c r="O8" s="3">
        <f>IF(AND(VLOOKUP(O$1,test!$A$3:$F$32,5,FALSE) - VLOOKUP($A8,test!$A$3:$G$32,6,FALSE) &gt;= (test!$B$33)/1440),1,0)</f>
        <v>0</v>
      </c>
      <c r="P8" s="3">
        <f>IF(AND(VLOOKUP(P$1,test!$A$3:$F$32,5,FALSE) - VLOOKUP($A8,test!$A$3:$G$32,6,FALSE) &gt;= (test!$B$33)/1440),1,0)</f>
        <v>0</v>
      </c>
      <c r="Q8" s="3">
        <f>IF(AND(VLOOKUP(Q$1,test!$A$3:$F$32,5,FALSE) - VLOOKUP($A8,test!$A$3:$G$32,6,FALSE) &gt;= (test!$B$33)/1440),1,0)</f>
        <v>0</v>
      </c>
      <c r="R8" s="3">
        <f>IF(AND(VLOOKUP(R$1,test!$A$3:$F$32,5,FALSE) - VLOOKUP($A8,test!$A$3:$G$32,6,FALSE) &gt;= (test!$B$33)/1440),1,0)</f>
        <v>0</v>
      </c>
      <c r="S8" s="3">
        <f>IF(AND(VLOOKUP(S$1,test!$A$3:$F$32,5,FALSE) - VLOOKUP($A8,test!$A$3:$G$32,6,FALSE) &gt;= (test!$B$33)/1440),1,0)</f>
        <v>0</v>
      </c>
      <c r="T8" s="3">
        <f>IF(AND(VLOOKUP(T$1,test!$A$3:$F$32,5,FALSE) - VLOOKUP($A8,test!$A$3:$G$32,6,FALSE) &gt;= (test!$B$33)/1440),1,0)</f>
        <v>0</v>
      </c>
      <c r="U8" s="3">
        <f>IF(AND(VLOOKUP(U$1,test!$A$3:$F$32,5,FALSE) - VLOOKUP($A8,test!$A$3:$G$32,6,FALSE) &gt;= (test!$B$33)/1440),1,0)</f>
        <v>0</v>
      </c>
      <c r="V8" s="3">
        <f>IF(AND(VLOOKUP(V$1,test!$A$3:$F$32,5,FALSE) - VLOOKUP($A8,test!$A$3:$G$32,6,FALSE) &gt;= (test!$B$33)/1440),1,0)</f>
        <v>0</v>
      </c>
      <c r="W8" s="3">
        <f>IF(AND(VLOOKUP(W$1,test!$A$3:$F$32,5,FALSE) - VLOOKUP($A8,test!$A$3:$G$32,6,FALSE) &gt;= (test!$B$33)/1440),1,0)</f>
        <v>0</v>
      </c>
      <c r="X8" s="3">
        <f>IF(AND(VLOOKUP(X$1,test!$A$3:$F$32,5,FALSE) - VLOOKUP($A8,test!$A$3:$G$32,6,FALSE) &gt;= (test!$B$33)/1440),1,0)</f>
        <v>0</v>
      </c>
      <c r="Y8" s="3">
        <f>IF(AND(VLOOKUP(Y$1,test!$A$3:$F$32,5,FALSE) - VLOOKUP($A8,test!$A$3:$G$32,6,FALSE) &gt;= (test!$B$33)/1440),1,0)</f>
        <v>0</v>
      </c>
      <c r="Z8" s="3">
        <f>IF(AND(VLOOKUP(Z$1,test!$A$3:$F$32,5,FALSE) - VLOOKUP($A8,test!$A$3:$G$32,6,FALSE) &gt;= (test!$B$33)/1440),1,0)</f>
        <v>0</v>
      </c>
      <c r="AA8" s="3">
        <f>IF(AND(VLOOKUP(AA$1,test!$A$3:$F$32,5,FALSE) - VLOOKUP($A8,test!$A$3:$G$32,6,FALSE) &gt;= (test!$B$33)/1440),1,0)</f>
        <v>0</v>
      </c>
      <c r="AB8" s="3">
        <f>IF(AND(VLOOKUP(AB$1,test!$A$3:$F$32,5,FALSE) - VLOOKUP($A8,test!$A$3:$G$32,6,FALSE) &gt;= (test!$B$33)/1440),1,0)</f>
        <v>0</v>
      </c>
      <c r="AC8" s="3">
        <f>IF(AND(VLOOKUP(AC$1,test!$A$3:$F$32,5,FALSE) - VLOOKUP($A8,test!$A$3:$G$32,6,FALSE) &gt;= (test!$B$33)/1440),1,0)</f>
        <v>0</v>
      </c>
      <c r="AD8" s="3">
        <f>IF(AND(VLOOKUP(AD$1,test!$A$3:$F$32,5,FALSE) - VLOOKUP($A8,test!$A$3:$G$32,6,FALSE) &gt;= (test!$B$33)/1440),1,0)</f>
        <v>0</v>
      </c>
      <c r="AE8" s="3">
        <f>IF(AND(VLOOKUP(AE$1,test!$A$3:$F$32,5,FALSE) - VLOOKUP($A8,test!$A$3:$G$32,6,FALSE) &gt;= (test!$B$33)/1440),1,0)</f>
        <v>0</v>
      </c>
      <c r="AF8" s="3">
        <f>IF(AND(VLOOKUP(AF$1,test!$A$3:$F$32,5,FALSE) - VLOOKUP($A8,test!$A$3:$G$32,6,FALSE) &gt;= (test!$B$33)/1440),1,0)</f>
        <v>0</v>
      </c>
    </row>
    <row r="9" spans="1:32" x14ac:dyDescent="0.25">
      <c r="A9" t="s">
        <v>14</v>
      </c>
      <c r="B9">
        <v>0</v>
      </c>
      <c r="C9" s="3">
        <f>IF(AND(VLOOKUP(C$1,test!$A$3:$F$32,5,FALSE) - VLOOKUP($A9,test!$A$3:$G$32,6,FALSE) &gt;= (test!$B$33)/1440),1,0)</f>
        <v>0</v>
      </c>
      <c r="D9" s="3">
        <f>IF(AND(VLOOKUP(D$1,test!$A$3:$F$32,5,FALSE) - VLOOKUP($A9,test!$A$3:$G$32,6,FALSE) &gt;= (test!$B$33)/1440),1,0)</f>
        <v>0</v>
      </c>
      <c r="E9" s="3">
        <f>IF(AND(VLOOKUP(E$1,test!$A$3:$F$32,5,FALSE) - VLOOKUP($A9,test!$A$3:$G$32,6,FALSE) &gt;= (test!$B$33)/1440),1,0)</f>
        <v>0</v>
      </c>
      <c r="F9" s="3">
        <f>IF(AND(VLOOKUP(F$1,test!$A$3:$F$32,5,FALSE) - VLOOKUP($A9,test!$A$3:$G$32,6,FALSE) &gt;= (test!$B$33)/1440),1,0)</f>
        <v>0</v>
      </c>
      <c r="G9" s="3">
        <f>IF(AND(VLOOKUP(G$1,test!$A$3:$F$32,5,FALSE) - VLOOKUP($A9,test!$A$3:$G$32,6,FALSE) &gt;= (test!$B$33)/1440),1,0)</f>
        <v>0</v>
      </c>
      <c r="H9" s="3">
        <f>IF(AND(VLOOKUP(H$1,test!$A$3:$F$32,5,FALSE) - VLOOKUP($A9,test!$A$3:$G$32,6,FALSE) &gt;= (test!$B$33)/1440),1,0)</f>
        <v>0</v>
      </c>
      <c r="I9" s="3">
        <f>IF(AND(VLOOKUP(I$1,test!$A$3:$F$32,5,FALSE) - VLOOKUP($A9,test!$A$3:$G$32,6,FALSE) &gt;= (test!$B$33)/1440),1,0)</f>
        <v>0</v>
      </c>
      <c r="J9" s="3">
        <f>IF(AND(VLOOKUP(J$1,test!$A$3:$F$32,5,FALSE) - VLOOKUP($A9,test!$A$3:$G$32,6,FALSE) &gt;= (test!$B$33)/1440),1,0)</f>
        <v>0</v>
      </c>
      <c r="K9" s="3">
        <f>IF(AND(VLOOKUP(K$1,test!$A$3:$F$32,5,FALSE) - VLOOKUP($A9,test!$A$3:$G$32,6,FALSE) &gt;= (test!$B$33)/1440),1,0)</f>
        <v>0</v>
      </c>
      <c r="L9" s="3">
        <f>IF(AND(VLOOKUP(L$1,test!$A$3:$F$32,5,FALSE) - VLOOKUP($A9,test!$A$3:$G$32,6,FALSE) &gt;= (test!$B$33)/1440),1,0)</f>
        <v>0</v>
      </c>
      <c r="M9" s="3">
        <f>IF(AND(VLOOKUP(M$1,test!$A$3:$F$32,5,FALSE) - VLOOKUP($A9,test!$A$3:$G$32,6,FALSE) &gt;= (test!$B$33)/1440),1,0)</f>
        <v>0</v>
      </c>
      <c r="N9" s="3">
        <f>IF(AND(VLOOKUP(N$1,test!$A$3:$F$32,5,FALSE) - VLOOKUP($A9,test!$A$3:$G$32,6,FALSE) &gt;= (test!$B$33)/1440),1,0)</f>
        <v>0</v>
      </c>
      <c r="O9" s="3">
        <f>IF(AND(VLOOKUP(O$1,test!$A$3:$F$32,5,FALSE) - VLOOKUP($A9,test!$A$3:$G$32,6,FALSE) &gt;= (test!$B$33)/1440),1,0)</f>
        <v>0</v>
      </c>
      <c r="P9" s="3">
        <f>IF(AND(VLOOKUP(P$1,test!$A$3:$F$32,5,FALSE) - VLOOKUP($A9,test!$A$3:$G$32,6,FALSE) &gt;= (test!$B$33)/1440),1,0)</f>
        <v>0</v>
      </c>
      <c r="Q9" s="3">
        <f>IF(AND(VLOOKUP(Q$1,test!$A$3:$F$32,5,FALSE) - VLOOKUP($A9,test!$A$3:$G$32,6,FALSE) &gt;= (test!$B$33)/1440),1,0)</f>
        <v>0</v>
      </c>
      <c r="R9" s="3">
        <f>IF(AND(VLOOKUP(R$1,test!$A$3:$F$32,5,FALSE) - VLOOKUP($A9,test!$A$3:$G$32,6,FALSE) &gt;= (test!$B$33)/1440),1,0)</f>
        <v>0</v>
      </c>
      <c r="S9" s="3">
        <f>IF(AND(VLOOKUP(S$1,test!$A$3:$F$32,5,FALSE) - VLOOKUP($A9,test!$A$3:$G$32,6,FALSE) &gt;= (test!$B$33)/1440),1,0)</f>
        <v>0</v>
      </c>
      <c r="T9" s="3">
        <f>IF(AND(VLOOKUP(T$1,test!$A$3:$F$32,5,FALSE) - VLOOKUP($A9,test!$A$3:$G$32,6,FALSE) &gt;= (test!$B$33)/1440),1,0)</f>
        <v>0</v>
      </c>
      <c r="U9" s="3">
        <f>IF(AND(VLOOKUP(U$1,test!$A$3:$F$32,5,FALSE) - VLOOKUP($A9,test!$A$3:$G$32,6,FALSE) &gt;= (test!$B$33)/1440),1,0)</f>
        <v>0</v>
      </c>
      <c r="V9" s="3">
        <f>IF(AND(VLOOKUP(V$1,test!$A$3:$F$32,5,FALSE) - VLOOKUP($A9,test!$A$3:$G$32,6,FALSE) &gt;= (test!$B$33)/1440),1,0)</f>
        <v>0</v>
      </c>
      <c r="W9" s="3">
        <f>IF(AND(VLOOKUP(W$1,test!$A$3:$F$32,5,FALSE) - VLOOKUP($A9,test!$A$3:$G$32,6,FALSE) &gt;= (test!$B$33)/1440),1,0)</f>
        <v>0</v>
      </c>
      <c r="X9" s="3">
        <f>IF(AND(VLOOKUP(X$1,test!$A$3:$F$32,5,FALSE) - VLOOKUP($A9,test!$A$3:$G$32,6,FALSE) &gt;= (test!$B$33)/1440),1,0)</f>
        <v>0</v>
      </c>
      <c r="Y9" s="3">
        <f>IF(AND(VLOOKUP(Y$1,test!$A$3:$F$32,5,FALSE) - VLOOKUP($A9,test!$A$3:$G$32,6,FALSE) &gt;= (test!$B$33)/1440),1,0)</f>
        <v>0</v>
      </c>
      <c r="Z9" s="3">
        <f>IF(AND(VLOOKUP(Z$1,test!$A$3:$F$32,5,FALSE) - VLOOKUP($A9,test!$A$3:$G$32,6,FALSE) &gt;= (test!$B$33)/1440),1,0)</f>
        <v>0</v>
      </c>
      <c r="AA9" s="3">
        <f>IF(AND(VLOOKUP(AA$1,test!$A$3:$F$32,5,FALSE) - VLOOKUP($A9,test!$A$3:$G$32,6,FALSE) &gt;= (test!$B$33)/1440),1,0)</f>
        <v>0</v>
      </c>
      <c r="AB9" s="3">
        <f>IF(AND(VLOOKUP(AB$1,test!$A$3:$F$32,5,FALSE) - VLOOKUP($A9,test!$A$3:$G$32,6,FALSE) &gt;= (test!$B$33)/1440),1,0)</f>
        <v>0</v>
      </c>
      <c r="AC9" s="3">
        <f>IF(AND(VLOOKUP(AC$1,test!$A$3:$F$32,5,FALSE) - VLOOKUP($A9,test!$A$3:$G$32,6,FALSE) &gt;= (test!$B$33)/1440),1,0)</f>
        <v>0</v>
      </c>
      <c r="AD9" s="3">
        <f>IF(AND(VLOOKUP(AD$1,test!$A$3:$F$32,5,FALSE) - VLOOKUP($A9,test!$A$3:$G$32,6,FALSE) &gt;= (test!$B$33)/1440),1,0)</f>
        <v>0</v>
      </c>
      <c r="AE9" s="3">
        <f>IF(AND(VLOOKUP(AE$1,test!$A$3:$F$32,5,FALSE) - VLOOKUP($A9,test!$A$3:$G$32,6,FALSE) &gt;= (test!$B$33)/1440),1,0)</f>
        <v>0</v>
      </c>
      <c r="AF9" s="3">
        <f>IF(AND(VLOOKUP(AF$1,test!$A$3:$F$32,5,FALSE) - VLOOKUP($A9,test!$A$3:$G$32,6,FALSE) &gt;= (test!$B$33)/1440),1,0)</f>
        <v>0</v>
      </c>
    </row>
    <row r="10" spans="1:32" x14ac:dyDescent="0.25">
      <c r="A10" t="s">
        <v>15</v>
      </c>
      <c r="B10">
        <v>0</v>
      </c>
      <c r="C10" s="3">
        <f>IF(AND(VLOOKUP(C$1,test!$A$3:$F$32,5,FALSE) - VLOOKUP($A10,test!$A$3:$G$32,6,FALSE) &gt;= (test!$B$33)/1440),1,0)</f>
        <v>0</v>
      </c>
      <c r="D10" s="3">
        <f>IF(AND(VLOOKUP(D$1,test!$A$3:$F$32,5,FALSE) - VLOOKUP($A10,test!$A$3:$G$32,6,FALSE) &gt;= (test!$B$33)/1440),1,0)</f>
        <v>0</v>
      </c>
      <c r="E10" s="3">
        <f>IF(AND(VLOOKUP(E$1,test!$A$3:$F$32,5,FALSE) - VLOOKUP($A10,test!$A$3:$G$32,6,FALSE) &gt;= (test!$B$33)/1440),1,0)</f>
        <v>0</v>
      </c>
      <c r="F10" s="3">
        <f>IF(AND(VLOOKUP(F$1,test!$A$3:$F$32,5,FALSE) - VLOOKUP($A10,test!$A$3:$G$32,6,FALSE) &gt;= (test!$B$33)/1440),1,0)</f>
        <v>0</v>
      </c>
      <c r="G10" s="3">
        <f>IF(AND(VLOOKUP(G$1,test!$A$3:$F$32,5,FALSE) - VLOOKUP($A10,test!$A$3:$G$32,6,FALSE) &gt;= (test!$B$33)/1440),1,0)</f>
        <v>0</v>
      </c>
      <c r="H10" s="3">
        <f>IF(AND(VLOOKUP(H$1,test!$A$3:$F$32,5,FALSE) - VLOOKUP($A10,test!$A$3:$G$32,6,FALSE) &gt;= (test!$B$33)/1440),1,0)</f>
        <v>0</v>
      </c>
      <c r="I10" s="3">
        <f>IF(AND(VLOOKUP(I$1,test!$A$3:$F$32,5,FALSE) - VLOOKUP($A10,test!$A$3:$G$32,6,FALSE) &gt;= (test!$B$33)/1440),1,0)</f>
        <v>0</v>
      </c>
      <c r="J10" s="3">
        <f>IF(AND(VLOOKUP(J$1,test!$A$3:$F$32,5,FALSE) - VLOOKUP($A10,test!$A$3:$G$32,6,FALSE) &gt;= (test!$B$33)/1440),1,0)</f>
        <v>0</v>
      </c>
      <c r="K10" s="3">
        <f>IF(AND(VLOOKUP(K$1,test!$A$3:$F$32,5,FALSE) - VLOOKUP($A10,test!$A$3:$G$32,6,FALSE) &gt;= (test!$B$33)/1440),1,0)</f>
        <v>0</v>
      </c>
      <c r="L10" s="3">
        <f>IF(AND(VLOOKUP(L$1,test!$A$3:$F$32,5,FALSE) - VLOOKUP($A10,test!$A$3:$G$32,6,FALSE) &gt;= (test!$B$33)/1440),1,0)</f>
        <v>0</v>
      </c>
      <c r="M10" s="3">
        <f>IF(AND(VLOOKUP(M$1,test!$A$3:$F$32,5,FALSE) - VLOOKUP($A10,test!$A$3:$G$32,6,FALSE) &gt;= (test!$B$33)/1440),1,0)</f>
        <v>0</v>
      </c>
      <c r="N10" s="3">
        <f>IF(AND(VLOOKUP(N$1,test!$A$3:$F$32,5,FALSE) - VLOOKUP($A10,test!$A$3:$G$32,6,FALSE) &gt;= (test!$B$33)/1440),1,0)</f>
        <v>0</v>
      </c>
      <c r="O10" s="3">
        <f>IF(AND(VLOOKUP(O$1,test!$A$3:$F$32,5,FALSE) - VLOOKUP($A10,test!$A$3:$G$32,6,FALSE) &gt;= (test!$B$33)/1440),1,0)</f>
        <v>0</v>
      </c>
      <c r="P10" s="3">
        <f>IF(AND(VLOOKUP(P$1,test!$A$3:$F$32,5,FALSE) - VLOOKUP($A10,test!$A$3:$G$32,6,FALSE) &gt;= (test!$B$33)/1440),1,0)</f>
        <v>0</v>
      </c>
      <c r="Q10" s="3">
        <f>IF(AND(VLOOKUP(Q$1,test!$A$3:$F$32,5,FALSE) - VLOOKUP($A10,test!$A$3:$G$32,6,FALSE) &gt;= (test!$B$33)/1440),1,0)</f>
        <v>0</v>
      </c>
      <c r="R10" s="3">
        <f>IF(AND(VLOOKUP(R$1,test!$A$3:$F$32,5,FALSE) - VLOOKUP($A10,test!$A$3:$G$32,6,FALSE) &gt;= (test!$B$33)/1440),1,0)</f>
        <v>0</v>
      </c>
      <c r="S10" s="3">
        <f>IF(AND(VLOOKUP(S$1,test!$A$3:$F$32,5,FALSE) - VLOOKUP($A10,test!$A$3:$G$32,6,FALSE) &gt;= (test!$B$33)/1440),1,0)</f>
        <v>0</v>
      </c>
      <c r="T10" s="3">
        <f>IF(AND(VLOOKUP(T$1,test!$A$3:$F$32,5,FALSE) - VLOOKUP($A10,test!$A$3:$G$32,6,FALSE) &gt;= (test!$B$33)/1440),1,0)</f>
        <v>0</v>
      </c>
      <c r="U10" s="3">
        <f>IF(AND(VLOOKUP(U$1,test!$A$3:$F$32,5,FALSE) - VLOOKUP($A10,test!$A$3:$G$32,6,FALSE) &gt;= (test!$B$33)/1440),1,0)</f>
        <v>0</v>
      </c>
      <c r="V10" s="3">
        <f>IF(AND(VLOOKUP(V$1,test!$A$3:$F$32,5,FALSE) - VLOOKUP($A10,test!$A$3:$G$32,6,FALSE) &gt;= (test!$B$33)/1440),1,0)</f>
        <v>0</v>
      </c>
      <c r="W10" s="3">
        <f>IF(AND(VLOOKUP(W$1,test!$A$3:$F$32,5,FALSE) - VLOOKUP($A10,test!$A$3:$G$32,6,FALSE) &gt;= (test!$B$33)/1440),1,0)</f>
        <v>0</v>
      </c>
      <c r="X10" s="3">
        <f>IF(AND(VLOOKUP(X$1,test!$A$3:$F$32,5,FALSE) - VLOOKUP($A10,test!$A$3:$G$32,6,FALSE) &gt;= (test!$B$33)/1440),1,0)</f>
        <v>0</v>
      </c>
      <c r="Y10" s="3">
        <f>IF(AND(VLOOKUP(Y$1,test!$A$3:$F$32,5,FALSE) - VLOOKUP($A10,test!$A$3:$G$32,6,FALSE) &gt;= (test!$B$33)/1440),1,0)</f>
        <v>0</v>
      </c>
      <c r="Z10" s="3">
        <f>IF(AND(VLOOKUP(Z$1,test!$A$3:$F$32,5,FALSE) - VLOOKUP($A10,test!$A$3:$G$32,6,FALSE) &gt;= (test!$B$33)/1440),1,0)</f>
        <v>0</v>
      </c>
      <c r="AA10" s="3">
        <f>IF(AND(VLOOKUP(AA$1,test!$A$3:$F$32,5,FALSE) - VLOOKUP($A10,test!$A$3:$G$32,6,FALSE) &gt;= (test!$B$33)/1440),1,0)</f>
        <v>0</v>
      </c>
      <c r="AB10" s="3">
        <f>IF(AND(VLOOKUP(AB$1,test!$A$3:$F$32,5,FALSE) - VLOOKUP($A10,test!$A$3:$G$32,6,FALSE) &gt;= (test!$B$33)/1440),1,0)</f>
        <v>0</v>
      </c>
      <c r="AC10" s="3">
        <f>IF(AND(VLOOKUP(AC$1,test!$A$3:$F$32,5,FALSE) - VLOOKUP($A10,test!$A$3:$G$32,6,FALSE) &gt;= (test!$B$33)/1440),1,0)</f>
        <v>0</v>
      </c>
      <c r="AD10" s="3">
        <f>IF(AND(VLOOKUP(AD$1,test!$A$3:$F$32,5,FALSE) - VLOOKUP($A10,test!$A$3:$G$32,6,FALSE) &gt;= (test!$B$33)/1440),1,0)</f>
        <v>0</v>
      </c>
      <c r="AE10" s="3">
        <f>IF(AND(VLOOKUP(AE$1,test!$A$3:$F$32,5,FALSE) - VLOOKUP($A10,test!$A$3:$G$32,6,FALSE) &gt;= (test!$B$33)/1440),1,0)</f>
        <v>0</v>
      </c>
      <c r="AF10" s="3">
        <f>IF(AND(VLOOKUP(AF$1,test!$A$3:$F$32,5,FALSE) - VLOOKUP($A10,test!$A$3:$G$32,6,FALSE) &gt;= (test!$B$33)/1440),1,0)</f>
        <v>0</v>
      </c>
    </row>
    <row r="11" spans="1:32" x14ac:dyDescent="0.25">
      <c r="A11" t="s">
        <v>18</v>
      </c>
      <c r="B11">
        <v>0</v>
      </c>
      <c r="C11" s="3">
        <f>IF(AND(VLOOKUP(C$1,test!$A$3:$F$32,5,FALSE) - VLOOKUP($A11,test!$A$3:$G$32,6,FALSE) &gt;= (test!$B$33)/1440),1,0)</f>
        <v>0</v>
      </c>
      <c r="D11" s="3">
        <f>IF(AND(VLOOKUP(D$1,test!$A$3:$F$32,5,FALSE) - VLOOKUP($A11,test!$A$3:$G$32,6,FALSE) &gt;= (test!$B$33)/1440),1,0)</f>
        <v>0</v>
      </c>
      <c r="E11" s="3">
        <f>IF(AND(VLOOKUP(E$1,test!$A$3:$F$32,5,FALSE) - VLOOKUP($A11,test!$A$3:$G$32,6,FALSE) &gt;= (test!$B$33)/1440),1,0)</f>
        <v>1</v>
      </c>
      <c r="F11" s="3">
        <f>IF(AND(VLOOKUP(F$1,test!$A$3:$F$32,5,FALSE) - VLOOKUP($A11,test!$A$3:$G$32,6,FALSE) &gt;= (test!$B$33)/1440),1,0)</f>
        <v>1</v>
      </c>
      <c r="G11" s="3">
        <f>IF(AND(VLOOKUP(G$1,test!$A$3:$F$32,5,FALSE) - VLOOKUP($A11,test!$A$3:$G$32,6,FALSE) &gt;= (test!$B$33)/1440),1,0)</f>
        <v>1</v>
      </c>
      <c r="H11" s="3">
        <f>IF(AND(VLOOKUP(H$1,test!$A$3:$F$32,5,FALSE) - VLOOKUP($A11,test!$A$3:$G$32,6,FALSE) &gt;= (test!$B$33)/1440),1,0)</f>
        <v>1</v>
      </c>
      <c r="I11" s="3">
        <f>IF(AND(VLOOKUP(I$1,test!$A$3:$F$32,5,FALSE) - VLOOKUP($A11,test!$A$3:$G$32,6,FALSE) &gt;= (test!$B$33)/1440),1,0)</f>
        <v>1</v>
      </c>
      <c r="J11" s="3">
        <f>IF(AND(VLOOKUP(J$1,test!$A$3:$F$32,5,FALSE) - VLOOKUP($A11,test!$A$3:$G$32,6,FALSE) &gt;= (test!$B$33)/1440),1,0)</f>
        <v>1</v>
      </c>
      <c r="K11" s="3">
        <f>IF(AND(VLOOKUP(K$1,test!$A$3:$F$32,5,FALSE) - VLOOKUP($A11,test!$A$3:$G$32,6,FALSE) &gt;= (test!$B$33)/1440),1,0)</f>
        <v>0</v>
      </c>
      <c r="L11" s="3">
        <f>IF(AND(VLOOKUP(L$1,test!$A$3:$F$32,5,FALSE) - VLOOKUP($A11,test!$A$3:$G$32,6,FALSE) &gt;= (test!$B$33)/1440),1,0)</f>
        <v>0</v>
      </c>
      <c r="M11" s="3">
        <f>IF(AND(VLOOKUP(M$1,test!$A$3:$F$32,5,FALSE) - VLOOKUP($A11,test!$A$3:$G$32,6,FALSE) &gt;= (test!$B$33)/1440),1,0)</f>
        <v>1</v>
      </c>
      <c r="N11" s="3">
        <f>IF(AND(VLOOKUP(N$1,test!$A$3:$F$32,5,FALSE) - VLOOKUP($A11,test!$A$3:$G$32,6,FALSE) &gt;= (test!$B$33)/1440),1,0)</f>
        <v>1</v>
      </c>
      <c r="O11" s="3">
        <f>IF(AND(VLOOKUP(O$1,test!$A$3:$F$32,5,FALSE) - VLOOKUP($A11,test!$A$3:$G$32,6,FALSE) &gt;= (test!$B$33)/1440),1,0)</f>
        <v>1</v>
      </c>
      <c r="P11" s="3">
        <f>IF(AND(VLOOKUP(P$1,test!$A$3:$F$32,5,FALSE) - VLOOKUP($A11,test!$A$3:$G$32,6,FALSE) &gt;= (test!$B$33)/1440),1,0)</f>
        <v>0</v>
      </c>
      <c r="Q11" s="3">
        <f>IF(AND(VLOOKUP(Q$1,test!$A$3:$F$32,5,FALSE) - VLOOKUP($A11,test!$A$3:$G$32,6,FALSE) &gt;= (test!$B$33)/1440),1,0)</f>
        <v>0</v>
      </c>
      <c r="R11" s="3">
        <f>IF(AND(VLOOKUP(R$1,test!$A$3:$F$32,5,FALSE) - VLOOKUP($A11,test!$A$3:$G$32,6,FALSE) &gt;= (test!$B$33)/1440),1,0)</f>
        <v>0</v>
      </c>
      <c r="S11" s="3">
        <f>IF(AND(VLOOKUP(S$1,test!$A$3:$F$32,5,FALSE) - VLOOKUP($A11,test!$A$3:$G$32,6,FALSE) &gt;= (test!$B$33)/1440),1,0)</f>
        <v>0</v>
      </c>
      <c r="T11" s="3">
        <f>IF(AND(VLOOKUP(T$1,test!$A$3:$F$32,5,FALSE) - VLOOKUP($A11,test!$A$3:$G$32,6,FALSE) &gt;= (test!$B$33)/1440),1,0)</f>
        <v>1</v>
      </c>
      <c r="U11" s="3">
        <f>IF(AND(VLOOKUP(U$1,test!$A$3:$F$32,5,FALSE) - VLOOKUP($A11,test!$A$3:$G$32,6,FALSE) &gt;= (test!$B$33)/1440),1,0)</f>
        <v>1</v>
      </c>
      <c r="V11" s="3">
        <f>IF(AND(VLOOKUP(V$1,test!$A$3:$F$32,5,FALSE) - VLOOKUP($A11,test!$A$3:$G$32,6,FALSE) &gt;= (test!$B$33)/1440),1,0)</f>
        <v>1</v>
      </c>
      <c r="W11" s="3">
        <f>IF(AND(VLOOKUP(W$1,test!$A$3:$F$32,5,FALSE) - VLOOKUP($A11,test!$A$3:$G$32,6,FALSE) &gt;= (test!$B$33)/1440),1,0)</f>
        <v>1</v>
      </c>
      <c r="X11" s="3">
        <f>IF(AND(VLOOKUP(X$1,test!$A$3:$F$32,5,FALSE) - VLOOKUP($A11,test!$A$3:$G$32,6,FALSE) &gt;= (test!$B$33)/1440),1,0)</f>
        <v>1</v>
      </c>
      <c r="Y11" s="3">
        <f>IF(AND(VLOOKUP(Y$1,test!$A$3:$F$32,5,FALSE) - VLOOKUP($A11,test!$A$3:$G$32,6,FALSE) &gt;= (test!$B$33)/1440),1,0)</f>
        <v>0</v>
      </c>
      <c r="Z11" s="3">
        <f>IF(AND(VLOOKUP(Z$1,test!$A$3:$F$32,5,FALSE) - VLOOKUP($A11,test!$A$3:$G$32,6,FALSE) &gt;= (test!$B$33)/1440),1,0)</f>
        <v>0</v>
      </c>
      <c r="AA11" s="3">
        <f>IF(AND(VLOOKUP(AA$1,test!$A$3:$F$32,5,FALSE) - VLOOKUP($A11,test!$A$3:$G$32,6,FALSE) &gt;= (test!$B$33)/1440),1,0)</f>
        <v>1</v>
      </c>
      <c r="AB11" s="3">
        <f>IF(AND(VLOOKUP(AB$1,test!$A$3:$F$32,5,FALSE) - VLOOKUP($A11,test!$A$3:$G$32,6,FALSE) &gt;= (test!$B$33)/1440),1,0)</f>
        <v>1</v>
      </c>
      <c r="AC11" s="3">
        <f>IF(AND(VLOOKUP(AC$1,test!$A$3:$F$32,5,FALSE) - VLOOKUP($A11,test!$A$3:$G$32,6,FALSE) &gt;= (test!$B$33)/1440),1,0)</f>
        <v>1</v>
      </c>
      <c r="AD11" s="3">
        <f>IF(AND(VLOOKUP(AD$1,test!$A$3:$F$32,5,FALSE) - VLOOKUP($A11,test!$A$3:$G$32,6,FALSE) &gt;= (test!$B$33)/1440),1,0)</f>
        <v>0</v>
      </c>
      <c r="AE11" s="3">
        <f>IF(AND(VLOOKUP(AE$1,test!$A$3:$F$32,5,FALSE) - VLOOKUP($A11,test!$A$3:$G$32,6,FALSE) &gt;= (test!$B$33)/1440),1,0)</f>
        <v>1</v>
      </c>
      <c r="AF11" s="3">
        <f>IF(AND(VLOOKUP(AF$1,test!$A$3:$F$32,5,FALSE) - VLOOKUP($A11,test!$A$3:$G$32,6,FALSE) &gt;= (test!$B$33)/1440),1,0)</f>
        <v>1</v>
      </c>
    </row>
    <row r="12" spans="1:32" x14ac:dyDescent="0.25">
      <c r="A12" t="s">
        <v>20</v>
      </c>
      <c r="B12">
        <v>0</v>
      </c>
      <c r="C12" s="3">
        <f>IF(AND(VLOOKUP(C$1,test!$A$3:$F$32,5,FALSE) - VLOOKUP($A12,test!$A$3:$G$32,6,FALSE) &gt;= (test!$B$33)/1440),1,0)</f>
        <v>0</v>
      </c>
      <c r="D12" s="3">
        <f>IF(AND(VLOOKUP(D$1,test!$A$3:$F$32,5,FALSE) - VLOOKUP($A12,test!$A$3:$G$32,6,FALSE) &gt;= (test!$B$33)/1440),1,0)</f>
        <v>0</v>
      </c>
      <c r="E12" s="3">
        <f>IF(AND(VLOOKUP(E$1,test!$A$3:$F$32,5,FALSE) - VLOOKUP($A12,test!$A$3:$G$32,6,FALSE) &gt;= (test!$B$33)/1440),1,0)</f>
        <v>0</v>
      </c>
      <c r="F12" s="3">
        <f>IF(AND(VLOOKUP(F$1,test!$A$3:$F$32,5,FALSE) - VLOOKUP($A12,test!$A$3:$G$32,6,FALSE) &gt;= (test!$B$33)/1440),1,0)</f>
        <v>1</v>
      </c>
      <c r="G12" s="3">
        <f>IF(AND(VLOOKUP(G$1,test!$A$3:$F$32,5,FALSE) - VLOOKUP($A12,test!$A$3:$G$32,6,FALSE) &gt;= (test!$B$33)/1440),1,0)</f>
        <v>1</v>
      </c>
      <c r="H12" s="3">
        <f>IF(AND(VLOOKUP(H$1,test!$A$3:$F$32,5,FALSE) - VLOOKUP($A12,test!$A$3:$G$32,6,FALSE) &gt;= (test!$B$33)/1440),1,0)</f>
        <v>1</v>
      </c>
      <c r="I12" s="3">
        <f>IF(AND(VLOOKUP(I$1,test!$A$3:$F$32,5,FALSE) - VLOOKUP($A12,test!$A$3:$G$32,6,FALSE) &gt;= (test!$B$33)/1440),1,0)</f>
        <v>1</v>
      </c>
      <c r="J12" s="3">
        <f>IF(AND(VLOOKUP(J$1,test!$A$3:$F$32,5,FALSE) - VLOOKUP($A12,test!$A$3:$G$32,6,FALSE) &gt;= (test!$B$33)/1440),1,0)</f>
        <v>1</v>
      </c>
      <c r="K12" s="3">
        <f>IF(AND(VLOOKUP(K$1,test!$A$3:$F$32,5,FALSE) - VLOOKUP($A12,test!$A$3:$G$32,6,FALSE) &gt;= (test!$B$33)/1440),1,0)</f>
        <v>0</v>
      </c>
      <c r="L12" s="3">
        <f>IF(AND(VLOOKUP(L$1,test!$A$3:$F$32,5,FALSE) - VLOOKUP($A12,test!$A$3:$G$32,6,FALSE) &gt;= (test!$B$33)/1440),1,0)</f>
        <v>0</v>
      </c>
      <c r="M12" s="3">
        <f>IF(AND(VLOOKUP(M$1,test!$A$3:$F$32,5,FALSE) - VLOOKUP($A12,test!$A$3:$G$32,6,FALSE) &gt;= (test!$B$33)/1440),1,0)</f>
        <v>0</v>
      </c>
      <c r="N12" s="3">
        <f>IF(AND(VLOOKUP(N$1,test!$A$3:$F$32,5,FALSE) - VLOOKUP($A12,test!$A$3:$G$32,6,FALSE) &gt;= (test!$B$33)/1440),1,0)</f>
        <v>1</v>
      </c>
      <c r="O12" s="3">
        <f>IF(AND(VLOOKUP(O$1,test!$A$3:$F$32,5,FALSE) - VLOOKUP($A12,test!$A$3:$G$32,6,FALSE) &gt;= (test!$B$33)/1440),1,0)</f>
        <v>1</v>
      </c>
      <c r="P12" s="3">
        <f>IF(AND(VLOOKUP(P$1,test!$A$3:$F$32,5,FALSE) - VLOOKUP($A12,test!$A$3:$G$32,6,FALSE) &gt;= (test!$B$33)/1440),1,0)</f>
        <v>0</v>
      </c>
      <c r="Q12" s="3">
        <f>IF(AND(VLOOKUP(Q$1,test!$A$3:$F$32,5,FALSE) - VLOOKUP($A12,test!$A$3:$G$32,6,FALSE) &gt;= (test!$B$33)/1440),1,0)</f>
        <v>0</v>
      </c>
      <c r="R12" s="3">
        <f>IF(AND(VLOOKUP(R$1,test!$A$3:$F$32,5,FALSE) - VLOOKUP($A12,test!$A$3:$G$32,6,FALSE) &gt;= (test!$B$33)/1440),1,0)</f>
        <v>0</v>
      </c>
      <c r="S12" s="3">
        <f>IF(AND(VLOOKUP(S$1,test!$A$3:$F$32,5,FALSE) - VLOOKUP($A12,test!$A$3:$G$32,6,FALSE) &gt;= (test!$B$33)/1440),1,0)</f>
        <v>0</v>
      </c>
      <c r="T12" s="3">
        <f>IF(AND(VLOOKUP(T$1,test!$A$3:$F$32,5,FALSE) - VLOOKUP($A12,test!$A$3:$G$32,6,FALSE) &gt;= (test!$B$33)/1440),1,0)</f>
        <v>0</v>
      </c>
      <c r="U12" s="3">
        <f>IF(AND(VLOOKUP(U$1,test!$A$3:$F$32,5,FALSE) - VLOOKUP($A12,test!$A$3:$G$32,6,FALSE) &gt;= (test!$B$33)/1440),1,0)</f>
        <v>1</v>
      </c>
      <c r="V12" s="3">
        <f>IF(AND(VLOOKUP(V$1,test!$A$3:$F$32,5,FALSE) - VLOOKUP($A12,test!$A$3:$G$32,6,FALSE) &gt;= (test!$B$33)/1440),1,0)</f>
        <v>1</v>
      </c>
      <c r="W12" s="3">
        <f>IF(AND(VLOOKUP(W$1,test!$A$3:$F$32,5,FALSE) - VLOOKUP($A12,test!$A$3:$G$32,6,FALSE) &gt;= (test!$B$33)/1440),1,0)</f>
        <v>1</v>
      </c>
      <c r="X12" s="3">
        <f>IF(AND(VLOOKUP(X$1,test!$A$3:$F$32,5,FALSE) - VLOOKUP($A12,test!$A$3:$G$32,6,FALSE) &gt;= (test!$B$33)/1440),1,0)</f>
        <v>1</v>
      </c>
      <c r="Y12" s="3">
        <f>IF(AND(VLOOKUP(Y$1,test!$A$3:$F$32,5,FALSE) - VLOOKUP($A12,test!$A$3:$G$32,6,FALSE) &gt;= (test!$B$33)/1440),1,0)</f>
        <v>0</v>
      </c>
      <c r="Z12" s="3">
        <f>IF(AND(VLOOKUP(Z$1,test!$A$3:$F$32,5,FALSE) - VLOOKUP($A12,test!$A$3:$G$32,6,FALSE) &gt;= (test!$B$33)/1440),1,0)</f>
        <v>0</v>
      </c>
      <c r="AA12" s="3">
        <f>IF(AND(VLOOKUP(AA$1,test!$A$3:$F$32,5,FALSE) - VLOOKUP($A12,test!$A$3:$G$32,6,FALSE) &gt;= (test!$B$33)/1440),1,0)</f>
        <v>0</v>
      </c>
      <c r="AB12" s="3">
        <f>IF(AND(VLOOKUP(AB$1,test!$A$3:$F$32,5,FALSE) - VLOOKUP($A12,test!$A$3:$G$32,6,FALSE) &gt;= (test!$B$33)/1440),1,0)</f>
        <v>1</v>
      </c>
      <c r="AC12" s="3">
        <f>IF(AND(VLOOKUP(AC$1,test!$A$3:$F$32,5,FALSE) - VLOOKUP($A12,test!$A$3:$G$32,6,FALSE) &gt;= (test!$B$33)/1440),1,0)</f>
        <v>1</v>
      </c>
      <c r="AD12" s="3">
        <f>IF(AND(VLOOKUP(AD$1,test!$A$3:$F$32,5,FALSE) - VLOOKUP($A12,test!$A$3:$G$32,6,FALSE) &gt;= (test!$B$33)/1440),1,0)</f>
        <v>0</v>
      </c>
      <c r="AE12" s="3">
        <f>IF(AND(VLOOKUP(AE$1,test!$A$3:$F$32,5,FALSE) - VLOOKUP($A12,test!$A$3:$G$32,6,FALSE) &gt;= (test!$B$33)/1440),1,0)</f>
        <v>0</v>
      </c>
      <c r="AF12" s="3">
        <f>IF(AND(VLOOKUP(AF$1,test!$A$3:$F$32,5,FALSE) - VLOOKUP($A12,test!$A$3:$G$32,6,FALSE) &gt;= (test!$B$33)/1440),1,0)</f>
        <v>0</v>
      </c>
    </row>
    <row r="13" spans="1:32" x14ac:dyDescent="0.25">
      <c r="A13" t="s">
        <v>21</v>
      </c>
      <c r="B13">
        <v>0</v>
      </c>
      <c r="C13" s="3">
        <f>IF(AND(VLOOKUP(C$1,test!$A$3:$F$32,5,FALSE) - VLOOKUP($A13,test!$A$3:$G$32,6,FALSE) &gt;= (test!$B$33)/1440),1,0)</f>
        <v>0</v>
      </c>
      <c r="D13" s="3">
        <f>IF(AND(VLOOKUP(D$1,test!$A$3:$F$32,5,FALSE) - VLOOKUP($A13,test!$A$3:$G$32,6,FALSE) &gt;= (test!$B$33)/1440),1,0)</f>
        <v>0</v>
      </c>
      <c r="E13" s="3">
        <f>IF(AND(VLOOKUP(E$1,test!$A$3:$F$32,5,FALSE) - VLOOKUP($A13,test!$A$3:$G$32,6,FALSE) &gt;= (test!$B$33)/1440),1,0)</f>
        <v>0</v>
      </c>
      <c r="F13" s="3">
        <f>IF(AND(VLOOKUP(F$1,test!$A$3:$F$32,5,FALSE) - VLOOKUP($A13,test!$A$3:$G$32,6,FALSE) &gt;= (test!$B$33)/1440),1,0)</f>
        <v>0</v>
      </c>
      <c r="G13" s="3">
        <f>IF(AND(VLOOKUP(G$1,test!$A$3:$F$32,5,FALSE) - VLOOKUP($A13,test!$A$3:$G$32,6,FALSE) &gt;= (test!$B$33)/1440),1,0)</f>
        <v>0</v>
      </c>
      <c r="H13" s="3">
        <f>IF(AND(VLOOKUP(H$1,test!$A$3:$F$32,5,FALSE) - VLOOKUP($A13,test!$A$3:$G$32,6,FALSE) &gt;= (test!$B$33)/1440),1,0)</f>
        <v>1</v>
      </c>
      <c r="I13" s="3">
        <f>IF(AND(VLOOKUP(I$1,test!$A$3:$F$32,5,FALSE) - VLOOKUP($A13,test!$A$3:$G$32,6,FALSE) &gt;= (test!$B$33)/1440),1,0)</f>
        <v>1</v>
      </c>
      <c r="J13" s="3">
        <f>IF(AND(VLOOKUP(J$1,test!$A$3:$F$32,5,FALSE) - VLOOKUP($A13,test!$A$3:$G$32,6,FALSE) &gt;= (test!$B$33)/1440),1,0)</f>
        <v>1</v>
      </c>
      <c r="K13" s="3">
        <f>IF(AND(VLOOKUP(K$1,test!$A$3:$F$32,5,FALSE) - VLOOKUP($A13,test!$A$3:$G$32,6,FALSE) &gt;= (test!$B$33)/1440),1,0)</f>
        <v>0</v>
      </c>
      <c r="L13" s="3">
        <f>IF(AND(VLOOKUP(L$1,test!$A$3:$F$32,5,FALSE) - VLOOKUP($A13,test!$A$3:$G$32,6,FALSE) &gt;= (test!$B$33)/1440),1,0)</f>
        <v>0</v>
      </c>
      <c r="M13" s="3">
        <f>IF(AND(VLOOKUP(M$1,test!$A$3:$F$32,5,FALSE) - VLOOKUP($A13,test!$A$3:$G$32,6,FALSE) &gt;= (test!$B$33)/1440),1,0)</f>
        <v>0</v>
      </c>
      <c r="N13" s="3">
        <f>IF(AND(VLOOKUP(N$1,test!$A$3:$F$32,5,FALSE) - VLOOKUP($A13,test!$A$3:$G$32,6,FALSE) &gt;= (test!$B$33)/1440),1,0)</f>
        <v>1</v>
      </c>
      <c r="O13" s="3">
        <f>IF(AND(VLOOKUP(O$1,test!$A$3:$F$32,5,FALSE) - VLOOKUP($A13,test!$A$3:$G$32,6,FALSE) &gt;= (test!$B$33)/1440),1,0)</f>
        <v>1</v>
      </c>
      <c r="P13" s="3">
        <f>IF(AND(VLOOKUP(P$1,test!$A$3:$F$32,5,FALSE) - VLOOKUP($A13,test!$A$3:$G$32,6,FALSE) &gt;= (test!$B$33)/1440),1,0)</f>
        <v>0</v>
      </c>
      <c r="Q13" s="3">
        <f>IF(AND(VLOOKUP(Q$1,test!$A$3:$F$32,5,FALSE) - VLOOKUP($A13,test!$A$3:$G$32,6,FALSE) &gt;= (test!$B$33)/1440),1,0)</f>
        <v>0</v>
      </c>
      <c r="R13" s="3">
        <f>IF(AND(VLOOKUP(R$1,test!$A$3:$F$32,5,FALSE) - VLOOKUP($A13,test!$A$3:$G$32,6,FALSE) &gt;= (test!$B$33)/1440),1,0)</f>
        <v>0</v>
      </c>
      <c r="S13" s="3">
        <f>IF(AND(VLOOKUP(S$1,test!$A$3:$F$32,5,FALSE) - VLOOKUP($A13,test!$A$3:$G$32,6,FALSE) &gt;= (test!$B$33)/1440),1,0)</f>
        <v>0</v>
      </c>
      <c r="T13" s="3">
        <f>IF(AND(VLOOKUP(T$1,test!$A$3:$F$32,5,FALSE) - VLOOKUP($A13,test!$A$3:$G$32,6,FALSE) &gt;= (test!$B$33)/1440),1,0)</f>
        <v>0</v>
      </c>
      <c r="U13" s="3">
        <f>IF(AND(VLOOKUP(U$1,test!$A$3:$F$32,5,FALSE) - VLOOKUP($A13,test!$A$3:$G$32,6,FALSE) &gt;= (test!$B$33)/1440),1,0)</f>
        <v>0</v>
      </c>
      <c r="V13" s="3">
        <f>IF(AND(VLOOKUP(V$1,test!$A$3:$F$32,5,FALSE) - VLOOKUP($A13,test!$A$3:$G$32,6,FALSE) &gt;= (test!$B$33)/1440),1,0)</f>
        <v>0</v>
      </c>
      <c r="W13" s="3">
        <f>IF(AND(VLOOKUP(W$1,test!$A$3:$F$32,5,FALSE) - VLOOKUP($A13,test!$A$3:$G$32,6,FALSE) &gt;= (test!$B$33)/1440),1,0)</f>
        <v>1</v>
      </c>
      <c r="X13" s="3">
        <f>IF(AND(VLOOKUP(X$1,test!$A$3:$F$32,5,FALSE) - VLOOKUP($A13,test!$A$3:$G$32,6,FALSE) &gt;= (test!$B$33)/1440),1,0)</f>
        <v>1</v>
      </c>
      <c r="Y13" s="3">
        <f>IF(AND(VLOOKUP(Y$1,test!$A$3:$F$32,5,FALSE) - VLOOKUP($A13,test!$A$3:$G$32,6,FALSE) &gt;= (test!$B$33)/1440),1,0)</f>
        <v>0</v>
      </c>
      <c r="Z13" s="3">
        <f>IF(AND(VLOOKUP(Z$1,test!$A$3:$F$32,5,FALSE) - VLOOKUP($A13,test!$A$3:$G$32,6,FALSE) &gt;= (test!$B$33)/1440),1,0)</f>
        <v>0</v>
      </c>
      <c r="AA13" s="3">
        <f>IF(AND(VLOOKUP(AA$1,test!$A$3:$F$32,5,FALSE) - VLOOKUP($A13,test!$A$3:$G$32,6,FALSE) &gt;= (test!$B$33)/1440),1,0)</f>
        <v>0</v>
      </c>
      <c r="AB13" s="3">
        <f>IF(AND(VLOOKUP(AB$1,test!$A$3:$F$32,5,FALSE) - VLOOKUP($A13,test!$A$3:$G$32,6,FALSE) &gt;= (test!$B$33)/1440),1,0)</f>
        <v>0</v>
      </c>
      <c r="AC13" s="3">
        <f>IF(AND(VLOOKUP(AC$1,test!$A$3:$F$32,5,FALSE) - VLOOKUP($A13,test!$A$3:$G$32,6,FALSE) &gt;= (test!$B$33)/1440),1,0)</f>
        <v>1</v>
      </c>
      <c r="AD13" s="3">
        <f>IF(AND(VLOOKUP(AD$1,test!$A$3:$F$32,5,FALSE) - VLOOKUP($A13,test!$A$3:$G$32,6,FALSE) &gt;= (test!$B$33)/1440),1,0)</f>
        <v>0</v>
      </c>
      <c r="AE13" s="3">
        <f>IF(AND(VLOOKUP(AE$1,test!$A$3:$F$32,5,FALSE) - VLOOKUP($A13,test!$A$3:$G$32,6,FALSE) &gt;= (test!$B$33)/1440),1,0)</f>
        <v>0</v>
      </c>
      <c r="AF13" s="3">
        <f>IF(AND(VLOOKUP(AF$1,test!$A$3:$F$32,5,FALSE) - VLOOKUP($A13,test!$A$3:$G$32,6,FALSE) &gt;= (test!$B$33)/1440),1,0)</f>
        <v>0</v>
      </c>
    </row>
    <row r="14" spans="1:32" x14ac:dyDescent="0.25">
      <c r="A14" t="s">
        <v>22</v>
      </c>
      <c r="B14">
        <v>0</v>
      </c>
      <c r="C14" s="3">
        <f>IF(AND(VLOOKUP(C$1,test!$A$3:$F$32,5,FALSE) - VLOOKUP($A14,test!$A$3:$G$32,6,FALSE) &gt;= (test!$B$33)/1440),1,0)</f>
        <v>0</v>
      </c>
      <c r="D14" s="3">
        <f>IF(AND(VLOOKUP(D$1,test!$A$3:$F$32,5,FALSE) - VLOOKUP($A14,test!$A$3:$G$32,6,FALSE) &gt;= (test!$B$33)/1440),1,0)</f>
        <v>0</v>
      </c>
      <c r="E14" s="3">
        <f>IF(AND(VLOOKUP(E$1,test!$A$3:$F$32,5,FALSE) - VLOOKUP($A14,test!$A$3:$G$32,6,FALSE) &gt;= (test!$B$33)/1440),1,0)</f>
        <v>0</v>
      </c>
      <c r="F14" s="3">
        <f>IF(AND(VLOOKUP(F$1,test!$A$3:$F$32,5,FALSE) - VLOOKUP($A14,test!$A$3:$G$32,6,FALSE) &gt;= (test!$B$33)/1440),1,0)</f>
        <v>0</v>
      </c>
      <c r="G14" s="3">
        <f>IF(AND(VLOOKUP(G$1,test!$A$3:$F$32,5,FALSE) - VLOOKUP($A14,test!$A$3:$G$32,6,FALSE) &gt;= (test!$B$33)/1440),1,0)</f>
        <v>0</v>
      </c>
      <c r="H14" s="3">
        <f>IF(AND(VLOOKUP(H$1,test!$A$3:$F$32,5,FALSE) - VLOOKUP($A14,test!$A$3:$G$32,6,FALSE) &gt;= (test!$B$33)/1440),1,0)</f>
        <v>0</v>
      </c>
      <c r="I14" s="3">
        <f>IF(AND(VLOOKUP(I$1,test!$A$3:$F$32,5,FALSE) - VLOOKUP($A14,test!$A$3:$G$32,6,FALSE) &gt;= (test!$B$33)/1440),1,0)</f>
        <v>0</v>
      </c>
      <c r="J14" s="3">
        <f>IF(AND(VLOOKUP(J$1,test!$A$3:$F$32,5,FALSE) - VLOOKUP($A14,test!$A$3:$G$32,6,FALSE) &gt;= (test!$B$33)/1440),1,0)</f>
        <v>0</v>
      </c>
      <c r="K14" s="3">
        <f>IF(AND(VLOOKUP(K$1,test!$A$3:$F$32,5,FALSE) - VLOOKUP($A14,test!$A$3:$G$32,6,FALSE) &gt;= (test!$B$33)/1440),1,0)</f>
        <v>0</v>
      </c>
      <c r="L14" s="3">
        <f>IF(AND(VLOOKUP(L$1,test!$A$3:$F$32,5,FALSE) - VLOOKUP($A14,test!$A$3:$G$32,6,FALSE) &gt;= (test!$B$33)/1440),1,0)</f>
        <v>0</v>
      </c>
      <c r="M14" s="3">
        <f>IF(AND(VLOOKUP(M$1,test!$A$3:$F$32,5,FALSE) - VLOOKUP($A14,test!$A$3:$G$32,6,FALSE) &gt;= (test!$B$33)/1440),1,0)</f>
        <v>0</v>
      </c>
      <c r="N14" s="3">
        <f>IF(AND(VLOOKUP(N$1,test!$A$3:$F$32,5,FALSE) - VLOOKUP($A14,test!$A$3:$G$32,6,FALSE) &gt;= (test!$B$33)/1440),1,0)</f>
        <v>0</v>
      </c>
      <c r="O14" s="3">
        <f>IF(AND(VLOOKUP(O$1,test!$A$3:$F$32,5,FALSE) - VLOOKUP($A14,test!$A$3:$G$32,6,FALSE) &gt;= (test!$B$33)/1440),1,0)</f>
        <v>0</v>
      </c>
      <c r="P14" s="3">
        <f>IF(AND(VLOOKUP(P$1,test!$A$3:$F$32,5,FALSE) - VLOOKUP($A14,test!$A$3:$G$32,6,FALSE) &gt;= (test!$B$33)/1440),1,0)</f>
        <v>0</v>
      </c>
      <c r="Q14" s="3">
        <f>IF(AND(VLOOKUP(Q$1,test!$A$3:$F$32,5,FALSE) - VLOOKUP($A14,test!$A$3:$G$32,6,FALSE) &gt;= (test!$B$33)/1440),1,0)</f>
        <v>0</v>
      </c>
      <c r="R14" s="3">
        <f>IF(AND(VLOOKUP(R$1,test!$A$3:$F$32,5,FALSE) - VLOOKUP($A14,test!$A$3:$G$32,6,FALSE) &gt;= (test!$B$33)/1440),1,0)</f>
        <v>0</v>
      </c>
      <c r="S14" s="3">
        <f>IF(AND(VLOOKUP(S$1,test!$A$3:$F$32,5,FALSE) - VLOOKUP($A14,test!$A$3:$G$32,6,FALSE) &gt;= (test!$B$33)/1440),1,0)</f>
        <v>0</v>
      </c>
      <c r="T14" s="3">
        <f>IF(AND(VLOOKUP(T$1,test!$A$3:$F$32,5,FALSE) - VLOOKUP($A14,test!$A$3:$G$32,6,FALSE) &gt;= (test!$B$33)/1440),1,0)</f>
        <v>0</v>
      </c>
      <c r="U14" s="3">
        <f>IF(AND(VLOOKUP(U$1,test!$A$3:$F$32,5,FALSE) - VLOOKUP($A14,test!$A$3:$G$32,6,FALSE) &gt;= (test!$B$33)/1440),1,0)</f>
        <v>0</v>
      </c>
      <c r="V14" s="3">
        <f>IF(AND(VLOOKUP(V$1,test!$A$3:$F$32,5,FALSE) - VLOOKUP($A14,test!$A$3:$G$32,6,FALSE) &gt;= (test!$B$33)/1440),1,0)</f>
        <v>0</v>
      </c>
      <c r="W14" s="3">
        <f>IF(AND(VLOOKUP(W$1,test!$A$3:$F$32,5,FALSE) - VLOOKUP($A14,test!$A$3:$G$32,6,FALSE) &gt;= (test!$B$33)/1440),1,0)</f>
        <v>0</v>
      </c>
      <c r="X14" s="3">
        <f>IF(AND(VLOOKUP(X$1,test!$A$3:$F$32,5,FALSE) - VLOOKUP($A14,test!$A$3:$G$32,6,FALSE) &gt;= (test!$B$33)/1440),1,0)</f>
        <v>0</v>
      </c>
      <c r="Y14" s="3">
        <f>IF(AND(VLOOKUP(Y$1,test!$A$3:$F$32,5,FALSE) - VLOOKUP($A14,test!$A$3:$G$32,6,FALSE) &gt;= (test!$B$33)/1440),1,0)</f>
        <v>0</v>
      </c>
      <c r="Z14" s="3">
        <f>IF(AND(VLOOKUP(Z$1,test!$A$3:$F$32,5,FALSE) - VLOOKUP($A14,test!$A$3:$G$32,6,FALSE) &gt;= (test!$B$33)/1440),1,0)</f>
        <v>0</v>
      </c>
      <c r="AA14" s="3">
        <f>IF(AND(VLOOKUP(AA$1,test!$A$3:$F$32,5,FALSE) - VLOOKUP($A14,test!$A$3:$G$32,6,FALSE) &gt;= (test!$B$33)/1440),1,0)</f>
        <v>0</v>
      </c>
      <c r="AB14" s="3">
        <f>IF(AND(VLOOKUP(AB$1,test!$A$3:$F$32,5,FALSE) - VLOOKUP($A14,test!$A$3:$G$32,6,FALSE) &gt;= (test!$B$33)/1440),1,0)</f>
        <v>0</v>
      </c>
      <c r="AC14" s="3">
        <f>IF(AND(VLOOKUP(AC$1,test!$A$3:$F$32,5,FALSE) - VLOOKUP($A14,test!$A$3:$G$32,6,FALSE) &gt;= (test!$B$33)/1440),1,0)</f>
        <v>0</v>
      </c>
      <c r="AD14" s="3">
        <f>IF(AND(VLOOKUP(AD$1,test!$A$3:$F$32,5,FALSE) - VLOOKUP($A14,test!$A$3:$G$32,6,FALSE) &gt;= (test!$B$33)/1440),1,0)</f>
        <v>0</v>
      </c>
      <c r="AE14" s="3">
        <f>IF(AND(VLOOKUP(AE$1,test!$A$3:$F$32,5,FALSE) - VLOOKUP($A14,test!$A$3:$G$32,6,FALSE) &gt;= (test!$B$33)/1440),1,0)</f>
        <v>0</v>
      </c>
      <c r="AF14" s="3">
        <f>IF(AND(VLOOKUP(AF$1,test!$A$3:$F$32,5,FALSE) - VLOOKUP($A14,test!$A$3:$G$32,6,FALSE) &gt;= (test!$B$33)/1440),1,0)</f>
        <v>0</v>
      </c>
    </row>
    <row r="15" spans="1:32" x14ac:dyDescent="0.25">
      <c r="A15" t="s">
        <v>23</v>
      </c>
      <c r="B15">
        <v>0</v>
      </c>
      <c r="C15" s="3">
        <f>IF(AND(VLOOKUP(C$1,test!$A$3:$F$32,5,FALSE) - VLOOKUP($A15,test!$A$3:$G$32,6,FALSE) &gt;= (test!$B$33)/1440),1,0)</f>
        <v>0</v>
      </c>
      <c r="D15" s="3">
        <f>IF(AND(VLOOKUP(D$1,test!$A$3:$F$32,5,FALSE) - VLOOKUP($A15,test!$A$3:$G$32,6,FALSE) &gt;= (test!$B$33)/1440),1,0)</f>
        <v>0</v>
      </c>
      <c r="E15" s="3">
        <f>IF(AND(VLOOKUP(E$1,test!$A$3:$F$32,5,FALSE) - VLOOKUP($A15,test!$A$3:$G$32,6,FALSE) &gt;= (test!$B$33)/1440),1,0)</f>
        <v>0</v>
      </c>
      <c r="F15" s="3">
        <f>IF(AND(VLOOKUP(F$1,test!$A$3:$F$32,5,FALSE) - VLOOKUP($A15,test!$A$3:$G$32,6,FALSE) &gt;= (test!$B$33)/1440),1,0)</f>
        <v>0</v>
      </c>
      <c r="G15" s="3">
        <f>IF(AND(VLOOKUP(G$1,test!$A$3:$F$32,5,FALSE) - VLOOKUP($A15,test!$A$3:$G$32,6,FALSE) &gt;= (test!$B$33)/1440),1,0)</f>
        <v>0</v>
      </c>
      <c r="H15" s="3">
        <f>IF(AND(VLOOKUP(H$1,test!$A$3:$F$32,5,FALSE) - VLOOKUP($A15,test!$A$3:$G$32,6,FALSE) &gt;= (test!$B$33)/1440),1,0)</f>
        <v>0</v>
      </c>
      <c r="I15" s="3">
        <f>IF(AND(VLOOKUP(I$1,test!$A$3:$F$32,5,FALSE) - VLOOKUP($A15,test!$A$3:$G$32,6,FALSE) &gt;= (test!$B$33)/1440),1,0)</f>
        <v>0</v>
      </c>
      <c r="J15" s="3">
        <f>IF(AND(VLOOKUP(J$1,test!$A$3:$F$32,5,FALSE) - VLOOKUP($A15,test!$A$3:$G$32,6,FALSE) &gt;= (test!$B$33)/1440),1,0)</f>
        <v>0</v>
      </c>
      <c r="K15" s="3">
        <f>IF(AND(VLOOKUP(K$1,test!$A$3:$F$32,5,FALSE) - VLOOKUP($A15,test!$A$3:$G$32,6,FALSE) &gt;= (test!$B$33)/1440),1,0)</f>
        <v>0</v>
      </c>
      <c r="L15" s="3">
        <f>IF(AND(VLOOKUP(L$1,test!$A$3:$F$32,5,FALSE) - VLOOKUP($A15,test!$A$3:$G$32,6,FALSE) &gt;= (test!$B$33)/1440),1,0)</f>
        <v>0</v>
      </c>
      <c r="M15" s="3">
        <f>IF(AND(VLOOKUP(M$1,test!$A$3:$F$32,5,FALSE) - VLOOKUP($A15,test!$A$3:$G$32,6,FALSE) &gt;= (test!$B$33)/1440),1,0)</f>
        <v>0</v>
      </c>
      <c r="N15" s="3">
        <f>IF(AND(VLOOKUP(N$1,test!$A$3:$F$32,5,FALSE) - VLOOKUP($A15,test!$A$3:$G$32,6,FALSE) &gt;= (test!$B$33)/1440),1,0)</f>
        <v>0</v>
      </c>
      <c r="O15" s="3">
        <f>IF(AND(VLOOKUP(O$1,test!$A$3:$F$32,5,FALSE) - VLOOKUP($A15,test!$A$3:$G$32,6,FALSE) &gt;= (test!$B$33)/1440),1,0)</f>
        <v>0</v>
      </c>
      <c r="P15" s="3">
        <f>IF(AND(VLOOKUP(P$1,test!$A$3:$F$32,5,FALSE) - VLOOKUP($A15,test!$A$3:$G$32,6,FALSE) &gt;= (test!$B$33)/1440),1,0)</f>
        <v>0</v>
      </c>
      <c r="Q15" s="3">
        <f>IF(AND(VLOOKUP(Q$1,test!$A$3:$F$32,5,FALSE) - VLOOKUP($A15,test!$A$3:$G$32,6,FALSE) &gt;= (test!$B$33)/1440),1,0)</f>
        <v>0</v>
      </c>
      <c r="R15" s="3">
        <f>IF(AND(VLOOKUP(R$1,test!$A$3:$F$32,5,FALSE) - VLOOKUP($A15,test!$A$3:$G$32,6,FALSE) &gt;= (test!$B$33)/1440),1,0)</f>
        <v>0</v>
      </c>
      <c r="S15" s="3">
        <f>IF(AND(VLOOKUP(S$1,test!$A$3:$F$32,5,FALSE) - VLOOKUP($A15,test!$A$3:$G$32,6,FALSE) &gt;= (test!$B$33)/1440),1,0)</f>
        <v>0</v>
      </c>
      <c r="T15" s="3">
        <f>IF(AND(VLOOKUP(T$1,test!$A$3:$F$32,5,FALSE) - VLOOKUP($A15,test!$A$3:$G$32,6,FALSE) &gt;= (test!$B$33)/1440),1,0)</f>
        <v>0</v>
      </c>
      <c r="U15" s="3">
        <f>IF(AND(VLOOKUP(U$1,test!$A$3:$F$32,5,FALSE) - VLOOKUP($A15,test!$A$3:$G$32,6,FALSE) &gt;= (test!$B$33)/1440),1,0)</f>
        <v>0</v>
      </c>
      <c r="V15" s="3">
        <f>IF(AND(VLOOKUP(V$1,test!$A$3:$F$32,5,FALSE) - VLOOKUP($A15,test!$A$3:$G$32,6,FALSE) &gt;= (test!$B$33)/1440),1,0)</f>
        <v>0</v>
      </c>
      <c r="W15" s="3">
        <f>IF(AND(VLOOKUP(W$1,test!$A$3:$F$32,5,FALSE) - VLOOKUP($A15,test!$A$3:$G$32,6,FALSE) &gt;= (test!$B$33)/1440),1,0)</f>
        <v>0</v>
      </c>
      <c r="X15" s="3">
        <f>IF(AND(VLOOKUP(X$1,test!$A$3:$F$32,5,FALSE) - VLOOKUP($A15,test!$A$3:$G$32,6,FALSE) &gt;= (test!$B$33)/1440),1,0)</f>
        <v>0</v>
      </c>
      <c r="Y15" s="3">
        <f>IF(AND(VLOOKUP(Y$1,test!$A$3:$F$32,5,FALSE) - VLOOKUP($A15,test!$A$3:$G$32,6,FALSE) &gt;= (test!$B$33)/1440),1,0)</f>
        <v>0</v>
      </c>
      <c r="Z15" s="3">
        <f>IF(AND(VLOOKUP(Z$1,test!$A$3:$F$32,5,FALSE) - VLOOKUP($A15,test!$A$3:$G$32,6,FALSE) &gt;= (test!$B$33)/1440),1,0)</f>
        <v>0</v>
      </c>
      <c r="AA15" s="3">
        <f>IF(AND(VLOOKUP(AA$1,test!$A$3:$F$32,5,FALSE) - VLOOKUP($A15,test!$A$3:$G$32,6,FALSE) &gt;= (test!$B$33)/1440),1,0)</f>
        <v>0</v>
      </c>
      <c r="AB15" s="3">
        <f>IF(AND(VLOOKUP(AB$1,test!$A$3:$F$32,5,FALSE) - VLOOKUP($A15,test!$A$3:$G$32,6,FALSE) &gt;= (test!$B$33)/1440),1,0)</f>
        <v>0</v>
      </c>
      <c r="AC15" s="3">
        <f>IF(AND(VLOOKUP(AC$1,test!$A$3:$F$32,5,FALSE) - VLOOKUP($A15,test!$A$3:$G$32,6,FALSE) &gt;= (test!$B$33)/1440),1,0)</f>
        <v>0</v>
      </c>
      <c r="AD15" s="3">
        <f>IF(AND(VLOOKUP(AD$1,test!$A$3:$F$32,5,FALSE) - VLOOKUP($A15,test!$A$3:$G$32,6,FALSE) &gt;= (test!$B$33)/1440),1,0)</f>
        <v>0</v>
      </c>
      <c r="AE15" s="3">
        <f>IF(AND(VLOOKUP(AE$1,test!$A$3:$F$32,5,FALSE) - VLOOKUP($A15,test!$A$3:$G$32,6,FALSE) &gt;= (test!$B$33)/1440),1,0)</f>
        <v>0</v>
      </c>
      <c r="AF15" s="3">
        <f>IF(AND(VLOOKUP(AF$1,test!$A$3:$F$32,5,FALSE) - VLOOKUP($A15,test!$A$3:$G$32,6,FALSE) &gt;= (test!$B$33)/1440),1,0)</f>
        <v>0</v>
      </c>
    </row>
    <row r="16" spans="1:32" x14ac:dyDescent="0.25">
      <c r="A16" t="s">
        <v>24</v>
      </c>
      <c r="B16">
        <v>0</v>
      </c>
      <c r="C16" s="3">
        <f>IF(AND(VLOOKUP(C$1,test!$A$3:$F$32,5,FALSE) - VLOOKUP($A16,test!$A$3:$G$32,6,FALSE) &gt;= (test!$B$33)/1440),1,0)</f>
        <v>0</v>
      </c>
      <c r="D16" s="3">
        <f>IF(AND(VLOOKUP(D$1,test!$A$3:$F$32,5,FALSE) - VLOOKUP($A16,test!$A$3:$G$32,6,FALSE) &gt;= (test!$B$33)/1440),1,0)</f>
        <v>0</v>
      </c>
      <c r="E16" s="3">
        <f>IF(AND(VLOOKUP(E$1,test!$A$3:$F$32,5,FALSE) - VLOOKUP($A16,test!$A$3:$G$32,6,FALSE) &gt;= (test!$B$33)/1440),1,0)</f>
        <v>1</v>
      </c>
      <c r="F16" s="3">
        <f>IF(AND(VLOOKUP(F$1,test!$A$3:$F$32,5,FALSE) - VLOOKUP($A16,test!$A$3:$G$32,6,FALSE) &gt;= (test!$B$33)/1440),1,0)</f>
        <v>1</v>
      </c>
      <c r="G16" s="3">
        <f>IF(AND(VLOOKUP(G$1,test!$A$3:$F$32,5,FALSE) - VLOOKUP($A16,test!$A$3:$G$32,6,FALSE) &gt;= (test!$B$33)/1440),1,0)</f>
        <v>1</v>
      </c>
      <c r="H16" s="3">
        <f>IF(AND(VLOOKUP(H$1,test!$A$3:$F$32,5,FALSE) - VLOOKUP($A16,test!$A$3:$G$32,6,FALSE) &gt;= (test!$B$33)/1440),1,0)</f>
        <v>1</v>
      </c>
      <c r="I16" s="3">
        <f>IF(AND(VLOOKUP(I$1,test!$A$3:$F$32,5,FALSE) - VLOOKUP($A16,test!$A$3:$G$32,6,FALSE) &gt;= (test!$B$33)/1440),1,0)</f>
        <v>1</v>
      </c>
      <c r="J16" s="3">
        <f>IF(AND(VLOOKUP(J$1,test!$A$3:$F$32,5,FALSE) - VLOOKUP($A16,test!$A$3:$G$32,6,FALSE) &gt;= (test!$B$33)/1440),1,0)</f>
        <v>1</v>
      </c>
      <c r="K16" s="3">
        <f>IF(AND(VLOOKUP(K$1,test!$A$3:$F$32,5,FALSE) - VLOOKUP($A16,test!$A$3:$G$32,6,FALSE) &gt;= (test!$B$33)/1440),1,0)</f>
        <v>0</v>
      </c>
      <c r="L16" s="3">
        <f>IF(AND(VLOOKUP(L$1,test!$A$3:$F$32,5,FALSE) - VLOOKUP($A16,test!$A$3:$G$32,6,FALSE) &gt;= (test!$B$33)/1440),1,0)</f>
        <v>0</v>
      </c>
      <c r="M16" s="3">
        <f>IF(AND(VLOOKUP(M$1,test!$A$3:$F$32,5,FALSE) - VLOOKUP($A16,test!$A$3:$G$32,6,FALSE) &gt;= (test!$B$33)/1440),1,0)</f>
        <v>0</v>
      </c>
      <c r="N16" s="3">
        <f>IF(AND(VLOOKUP(N$1,test!$A$3:$F$32,5,FALSE) - VLOOKUP($A16,test!$A$3:$G$32,6,FALSE) &gt;= (test!$B$33)/1440),1,0)</f>
        <v>1</v>
      </c>
      <c r="O16" s="3">
        <f>IF(AND(VLOOKUP(O$1,test!$A$3:$F$32,5,FALSE) - VLOOKUP($A16,test!$A$3:$G$32,6,FALSE) &gt;= (test!$B$33)/1440),1,0)</f>
        <v>1</v>
      </c>
      <c r="P16" s="3">
        <f>IF(AND(VLOOKUP(P$1,test!$A$3:$F$32,5,FALSE) - VLOOKUP($A16,test!$A$3:$G$32,6,FALSE) &gt;= (test!$B$33)/1440),1,0)</f>
        <v>0</v>
      </c>
      <c r="Q16" s="3">
        <f>IF(AND(VLOOKUP(Q$1,test!$A$3:$F$32,5,FALSE) - VLOOKUP($A16,test!$A$3:$G$32,6,FALSE) &gt;= (test!$B$33)/1440),1,0)</f>
        <v>0</v>
      </c>
      <c r="R16" s="3">
        <f>IF(AND(VLOOKUP(R$1,test!$A$3:$F$32,5,FALSE) - VLOOKUP($A16,test!$A$3:$G$32,6,FALSE) &gt;= (test!$B$33)/1440),1,0)</f>
        <v>0</v>
      </c>
      <c r="S16" s="3">
        <f>IF(AND(VLOOKUP(S$1,test!$A$3:$F$32,5,FALSE) - VLOOKUP($A16,test!$A$3:$G$32,6,FALSE) &gt;= (test!$B$33)/1440),1,0)</f>
        <v>0</v>
      </c>
      <c r="T16" s="3">
        <f>IF(AND(VLOOKUP(T$1,test!$A$3:$F$32,5,FALSE) - VLOOKUP($A16,test!$A$3:$G$32,6,FALSE) &gt;= (test!$B$33)/1440),1,0)</f>
        <v>0</v>
      </c>
      <c r="U16" s="3">
        <f>IF(AND(VLOOKUP(U$1,test!$A$3:$F$32,5,FALSE) - VLOOKUP($A16,test!$A$3:$G$32,6,FALSE) &gt;= (test!$B$33)/1440),1,0)</f>
        <v>1</v>
      </c>
      <c r="V16" s="3">
        <f>IF(AND(VLOOKUP(V$1,test!$A$3:$F$32,5,FALSE) - VLOOKUP($A16,test!$A$3:$G$32,6,FALSE) &gt;= (test!$B$33)/1440),1,0)</f>
        <v>1</v>
      </c>
      <c r="W16" s="3">
        <f>IF(AND(VLOOKUP(W$1,test!$A$3:$F$32,5,FALSE) - VLOOKUP($A16,test!$A$3:$G$32,6,FALSE) &gt;= (test!$B$33)/1440),1,0)</f>
        <v>1</v>
      </c>
      <c r="X16" s="3">
        <f>IF(AND(VLOOKUP(X$1,test!$A$3:$F$32,5,FALSE) - VLOOKUP($A16,test!$A$3:$G$32,6,FALSE) &gt;= (test!$B$33)/1440),1,0)</f>
        <v>1</v>
      </c>
      <c r="Y16" s="3">
        <f>IF(AND(VLOOKUP(Y$1,test!$A$3:$F$32,5,FALSE) - VLOOKUP($A16,test!$A$3:$G$32,6,FALSE) &gt;= (test!$B$33)/1440),1,0)</f>
        <v>0</v>
      </c>
      <c r="Z16" s="3">
        <f>IF(AND(VLOOKUP(Z$1,test!$A$3:$F$32,5,FALSE) - VLOOKUP($A16,test!$A$3:$G$32,6,FALSE) &gt;= (test!$B$33)/1440),1,0)</f>
        <v>0</v>
      </c>
      <c r="AA16" s="3">
        <f>IF(AND(VLOOKUP(AA$1,test!$A$3:$F$32,5,FALSE) - VLOOKUP($A16,test!$A$3:$G$32,6,FALSE) &gt;= (test!$B$33)/1440),1,0)</f>
        <v>1</v>
      </c>
      <c r="AB16" s="3">
        <f>IF(AND(VLOOKUP(AB$1,test!$A$3:$F$32,5,FALSE) - VLOOKUP($A16,test!$A$3:$G$32,6,FALSE) &gt;= (test!$B$33)/1440),1,0)</f>
        <v>1</v>
      </c>
      <c r="AC16" s="3">
        <f>IF(AND(VLOOKUP(AC$1,test!$A$3:$F$32,5,FALSE) - VLOOKUP($A16,test!$A$3:$G$32,6,FALSE) &gt;= (test!$B$33)/1440),1,0)</f>
        <v>1</v>
      </c>
      <c r="AD16" s="3">
        <f>IF(AND(VLOOKUP(AD$1,test!$A$3:$F$32,5,FALSE) - VLOOKUP($A16,test!$A$3:$G$32,6,FALSE) &gt;= (test!$B$33)/1440),1,0)</f>
        <v>0</v>
      </c>
      <c r="AE16" s="3">
        <f>IF(AND(VLOOKUP(AE$1,test!$A$3:$F$32,5,FALSE) - VLOOKUP($A16,test!$A$3:$G$32,6,FALSE) &gt;= (test!$B$33)/1440),1,0)</f>
        <v>1</v>
      </c>
      <c r="AF16" s="3">
        <f>IF(AND(VLOOKUP(AF$1,test!$A$3:$F$32,5,FALSE) - VLOOKUP($A16,test!$A$3:$G$32,6,FALSE) &gt;= (test!$B$33)/1440),1,0)</f>
        <v>0</v>
      </c>
    </row>
    <row r="17" spans="1:32" x14ac:dyDescent="0.25">
      <c r="A17" t="s">
        <v>26</v>
      </c>
      <c r="B17">
        <v>0</v>
      </c>
      <c r="C17" s="3">
        <f>IF(AND(VLOOKUP(C$1,test!$A$3:$F$32,5,FALSE) - VLOOKUP($A17,test!$A$3:$G$32,6,FALSE) &gt;= (test!$B$33)/1440),1,0)</f>
        <v>0</v>
      </c>
      <c r="D17" s="3">
        <f>IF(AND(VLOOKUP(D$1,test!$A$3:$F$32,5,FALSE) - VLOOKUP($A17,test!$A$3:$G$32,6,FALSE) &gt;= (test!$B$33)/1440),1,0)</f>
        <v>1</v>
      </c>
      <c r="E17" s="3">
        <f>IF(AND(VLOOKUP(E$1,test!$A$3:$F$32,5,FALSE) - VLOOKUP($A17,test!$A$3:$G$32,6,FALSE) &gt;= (test!$B$33)/1440),1,0)</f>
        <v>1</v>
      </c>
      <c r="F17" s="3">
        <f>IF(AND(VLOOKUP(F$1,test!$A$3:$F$32,5,FALSE) - VLOOKUP($A17,test!$A$3:$G$32,6,FALSE) &gt;= (test!$B$33)/1440),1,0)</f>
        <v>1</v>
      </c>
      <c r="G17" s="3">
        <f>IF(AND(VLOOKUP(G$1,test!$A$3:$F$32,5,FALSE) - VLOOKUP($A17,test!$A$3:$G$32,6,FALSE) &gt;= (test!$B$33)/1440),1,0)</f>
        <v>1</v>
      </c>
      <c r="H17" s="3">
        <f>IF(AND(VLOOKUP(H$1,test!$A$3:$F$32,5,FALSE) - VLOOKUP($A17,test!$A$3:$G$32,6,FALSE) &gt;= (test!$B$33)/1440),1,0)</f>
        <v>1</v>
      </c>
      <c r="I17" s="3">
        <f>IF(AND(VLOOKUP(I$1,test!$A$3:$F$32,5,FALSE) - VLOOKUP($A17,test!$A$3:$G$32,6,FALSE) &gt;= (test!$B$33)/1440),1,0)</f>
        <v>1</v>
      </c>
      <c r="J17" s="3">
        <f>IF(AND(VLOOKUP(J$1,test!$A$3:$F$32,5,FALSE) - VLOOKUP($A17,test!$A$3:$G$32,6,FALSE) &gt;= (test!$B$33)/1440),1,0)</f>
        <v>1</v>
      </c>
      <c r="K17" s="3">
        <f>IF(AND(VLOOKUP(K$1,test!$A$3:$F$32,5,FALSE) - VLOOKUP($A17,test!$A$3:$G$32,6,FALSE) &gt;= (test!$B$33)/1440),1,0)</f>
        <v>0</v>
      </c>
      <c r="L17" s="3">
        <f>IF(AND(VLOOKUP(L$1,test!$A$3:$F$32,5,FALSE) - VLOOKUP($A17,test!$A$3:$G$32,6,FALSE) &gt;= (test!$B$33)/1440),1,0)</f>
        <v>0</v>
      </c>
      <c r="M17" s="3">
        <f>IF(AND(VLOOKUP(M$1,test!$A$3:$F$32,5,FALSE) - VLOOKUP($A17,test!$A$3:$G$32,6,FALSE) &gt;= (test!$B$33)/1440),1,0)</f>
        <v>1</v>
      </c>
      <c r="N17" s="3">
        <f>IF(AND(VLOOKUP(N$1,test!$A$3:$F$32,5,FALSE) - VLOOKUP($A17,test!$A$3:$G$32,6,FALSE) &gt;= (test!$B$33)/1440),1,0)</f>
        <v>1</v>
      </c>
      <c r="O17" s="3">
        <f>IF(AND(VLOOKUP(O$1,test!$A$3:$F$32,5,FALSE) - VLOOKUP($A17,test!$A$3:$G$32,6,FALSE) &gt;= (test!$B$33)/1440),1,0)</f>
        <v>1</v>
      </c>
      <c r="P17" s="3">
        <f>IF(AND(VLOOKUP(P$1,test!$A$3:$F$32,5,FALSE) - VLOOKUP($A17,test!$A$3:$G$32,6,FALSE) &gt;= (test!$B$33)/1440),1,0)</f>
        <v>0</v>
      </c>
      <c r="Q17" s="3">
        <f>IF(AND(VLOOKUP(Q$1,test!$A$3:$F$32,5,FALSE) - VLOOKUP($A17,test!$A$3:$G$32,6,FALSE) &gt;= (test!$B$33)/1440),1,0)</f>
        <v>0</v>
      </c>
      <c r="R17" s="3">
        <f>IF(AND(VLOOKUP(R$1,test!$A$3:$F$32,5,FALSE) - VLOOKUP($A17,test!$A$3:$G$32,6,FALSE) &gt;= (test!$B$33)/1440),1,0)</f>
        <v>0</v>
      </c>
      <c r="S17" s="3">
        <f>IF(AND(VLOOKUP(S$1,test!$A$3:$F$32,5,FALSE) - VLOOKUP($A17,test!$A$3:$G$32,6,FALSE) &gt;= (test!$B$33)/1440),1,0)</f>
        <v>0</v>
      </c>
      <c r="T17" s="3">
        <f>IF(AND(VLOOKUP(T$1,test!$A$3:$F$32,5,FALSE) - VLOOKUP($A17,test!$A$3:$G$32,6,FALSE) &gt;= (test!$B$33)/1440),1,0)</f>
        <v>1</v>
      </c>
      <c r="U17" s="3">
        <f>IF(AND(VLOOKUP(U$1,test!$A$3:$F$32,5,FALSE) - VLOOKUP($A17,test!$A$3:$G$32,6,FALSE) &gt;= (test!$B$33)/1440),1,0)</f>
        <v>1</v>
      </c>
      <c r="V17" s="3">
        <f>IF(AND(VLOOKUP(V$1,test!$A$3:$F$32,5,FALSE) - VLOOKUP($A17,test!$A$3:$G$32,6,FALSE) &gt;= (test!$B$33)/1440),1,0)</f>
        <v>1</v>
      </c>
      <c r="W17" s="3">
        <f>IF(AND(VLOOKUP(W$1,test!$A$3:$F$32,5,FALSE) - VLOOKUP($A17,test!$A$3:$G$32,6,FALSE) &gt;= (test!$B$33)/1440),1,0)</f>
        <v>1</v>
      </c>
      <c r="X17" s="3">
        <f>IF(AND(VLOOKUP(X$1,test!$A$3:$F$32,5,FALSE) - VLOOKUP($A17,test!$A$3:$G$32,6,FALSE) &gt;= (test!$B$33)/1440),1,0)</f>
        <v>1</v>
      </c>
      <c r="Y17" s="3">
        <f>IF(AND(VLOOKUP(Y$1,test!$A$3:$F$32,5,FALSE) - VLOOKUP($A17,test!$A$3:$G$32,6,FALSE) &gt;= (test!$B$33)/1440),1,0)</f>
        <v>0</v>
      </c>
      <c r="Z17" s="3">
        <f>IF(AND(VLOOKUP(Z$1,test!$A$3:$F$32,5,FALSE) - VLOOKUP($A17,test!$A$3:$G$32,6,FALSE) &gt;= (test!$B$33)/1440),1,0)</f>
        <v>1</v>
      </c>
      <c r="AA17" s="3">
        <f>IF(AND(VLOOKUP(AA$1,test!$A$3:$F$32,5,FALSE) - VLOOKUP($A17,test!$A$3:$G$32,6,FALSE) &gt;= (test!$B$33)/1440),1,0)</f>
        <v>1</v>
      </c>
      <c r="AB17" s="3">
        <f>IF(AND(VLOOKUP(AB$1,test!$A$3:$F$32,5,FALSE) - VLOOKUP($A17,test!$A$3:$G$32,6,FALSE) &gt;= (test!$B$33)/1440),1,0)</f>
        <v>1</v>
      </c>
      <c r="AC17" s="3">
        <f>IF(AND(VLOOKUP(AC$1,test!$A$3:$F$32,5,FALSE) - VLOOKUP($A17,test!$A$3:$G$32,6,FALSE) &gt;= (test!$B$33)/1440),1,0)</f>
        <v>1</v>
      </c>
      <c r="AD17" s="3">
        <f>IF(AND(VLOOKUP(AD$1,test!$A$3:$F$32,5,FALSE) - VLOOKUP($A17,test!$A$3:$G$32,6,FALSE) &gt;= (test!$B$33)/1440),1,0)</f>
        <v>0</v>
      </c>
      <c r="AE17" s="3">
        <f>IF(AND(VLOOKUP(AE$1,test!$A$3:$F$32,5,FALSE) - VLOOKUP($A17,test!$A$3:$G$32,6,FALSE) &gt;= (test!$B$33)/1440),1,0)</f>
        <v>1</v>
      </c>
      <c r="AF17" s="3">
        <f>IF(AND(VLOOKUP(AF$1,test!$A$3:$F$32,5,FALSE) - VLOOKUP($A17,test!$A$3:$G$32,6,FALSE) &gt;= (test!$B$33)/1440),1,0)</f>
        <v>1</v>
      </c>
    </row>
    <row r="18" spans="1:32" x14ac:dyDescent="0.25">
      <c r="A18" t="s">
        <v>27</v>
      </c>
      <c r="B18">
        <v>0</v>
      </c>
      <c r="C18" s="3">
        <f>IF(AND(VLOOKUP(C$1,test!$A$3:$F$32,5,FALSE) - VLOOKUP($A18,test!$A$3:$G$32,6,FALSE) &gt;= (test!$B$33)/1440),1,0)</f>
        <v>0</v>
      </c>
      <c r="D18" s="3">
        <f>IF(AND(VLOOKUP(D$1,test!$A$3:$F$32,5,FALSE) - VLOOKUP($A18,test!$A$3:$G$32,6,FALSE) &gt;= (test!$B$33)/1440),1,0)</f>
        <v>0</v>
      </c>
      <c r="E18" s="3">
        <f>IF(AND(VLOOKUP(E$1,test!$A$3:$F$32,5,FALSE) - VLOOKUP($A18,test!$A$3:$G$32,6,FALSE) &gt;= (test!$B$33)/1440),1,0)</f>
        <v>1</v>
      </c>
      <c r="F18" s="3">
        <f>IF(AND(VLOOKUP(F$1,test!$A$3:$F$32,5,FALSE) - VLOOKUP($A18,test!$A$3:$G$32,6,FALSE) &gt;= (test!$B$33)/1440),1,0)</f>
        <v>1</v>
      </c>
      <c r="G18" s="3">
        <f>IF(AND(VLOOKUP(G$1,test!$A$3:$F$32,5,FALSE) - VLOOKUP($A18,test!$A$3:$G$32,6,FALSE) &gt;= (test!$B$33)/1440),1,0)</f>
        <v>1</v>
      </c>
      <c r="H18" s="3">
        <f>IF(AND(VLOOKUP(H$1,test!$A$3:$F$32,5,FALSE) - VLOOKUP($A18,test!$A$3:$G$32,6,FALSE) &gt;= (test!$B$33)/1440),1,0)</f>
        <v>1</v>
      </c>
      <c r="I18" s="3">
        <f>IF(AND(VLOOKUP(I$1,test!$A$3:$F$32,5,FALSE) - VLOOKUP($A18,test!$A$3:$G$32,6,FALSE) &gt;= (test!$B$33)/1440),1,0)</f>
        <v>1</v>
      </c>
      <c r="J18" s="3">
        <f>IF(AND(VLOOKUP(J$1,test!$A$3:$F$32,5,FALSE) - VLOOKUP($A18,test!$A$3:$G$32,6,FALSE) &gt;= (test!$B$33)/1440),1,0)</f>
        <v>1</v>
      </c>
      <c r="K18" s="3">
        <f>IF(AND(VLOOKUP(K$1,test!$A$3:$F$32,5,FALSE) - VLOOKUP($A18,test!$A$3:$G$32,6,FALSE) &gt;= (test!$B$33)/1440),1,0)</f>
        <v>0</v>
      </c>
      <c r="L18" s="3">
        <f>IF(AND(VLOOKUP(L$1,test!$A$3:$F$32,5,FALSE) - VLOOKUP($A18,test!$A$3:$G$32,6,FALSE) &gt;= (test!$B$33)/1440),1,0)</f>
        <v>0</v>
      </c>
      <c r="M18" s="3">
        <f>IF(AND(VLOOKUP(M$1,test!$A$3:$F$32,5,FALSE) - VLOOKUP($A18,test!$A$3:$G$32,6,FALSE) &gt;= (test!$B$33)/1440),1,0)</f>
        <v>0</v>
      </c>
      <c r="N18" s="3">
        <f>IF(AND(VLOOKUP(N$1,test!$A$3:$F$32,5,FALSE) - VLOOKUP($A18,test!$A$3:$G$32,6,FALSE) &gt;= (test!$B$33)/1440),1,0)</f>
        <v>1</v>
      </c>
      <c r="O18" s="3">
        <f>IF(AND(VLOOKUP(O$1,test!$A$3:$F$32,5,FALSE) - VLOOKUP($A18,test!$A$3:$G$32,6,FALSE) &gt;= (test!$B$33)/1440),1,0)</f>
        <v>1</v>
      </c>
      <c r="P18" s="3">
        <f>IF(AND(VLOOKUP(P$1,test!$A$3:$F$32,5,FALSE) - VLOOKUP($A18,test!$A$3:$G$32,6,FALSE) &gt;= (test!$B$33)/1440),1,0)</f>
        <v>0</v>
      </c>
      <c r="Q18" s="3">
        <f>IF(AND(VLOOKUP(Q$1,test!$A$3:$F$32,5,FALSE) - VLOOKUP($A18,test!$A$3:$G$32,6,FALSE) &gt;= (test!$B$33)/1440),1,0)</f>
        <v>0</v>
      </c>
      <c r="R18" s="3">
        <f>IF(AND(VLOOKUP(R$1,test!$A$3:$F$32,5,FALSE) - VLOOKUP($A18,test!$A$3:$G$32,6,FALSE) &gt;= (test!$B$33)/1440),1,0)</f>
        <v>0</v>
      </c>
      <c r="S18" s="3">
        <f>IF(AND(VLOOKUP(S$1,test!$A$3:$F$32,5,FALSE) - VLOOKUP($A18,test!$A$3:$G$32,6,FALSE) &gt;= (test!$B$33)/1440),1,0)</f>
        <v>0</v>
      </c>
      <c r="T18" s="3">
        <f>IF(AND(VLOOKUP(T$1,test!$A$3:$F$32,5,FALSE) - VLOOKUP($A18,test!$A$3:$G$32,6,FALSE) &gt;= (test!$B$33)/1440),1,0)</f>
        <v>0</v>
      </c>
      <c r="U18" s="3">
        <f>IF(AND(VLOOKUP(U$1,test!$A$3:$F$32,5,FALSE) - VLOOKUP($A18,test!$A$3:$G$32,6,FALSE) &gt;= (test!$B$33)/1440),1,0)</f>
        <v>1</v>
      </c>
      <c r="V18" s="3">
        <f>IF(AND(VLOOKUP(V$1,test!$A$3:$F$32,5,FALSE) - VLOOKUP($A18,test!$A$3:$G$32,6,FALSE) &gt;= (test!$B$33)/1440),1,0)</f>
        <v>1</v>
      </c>
      <c r="W18" s="3">
        <f>IF(AND(VLOOKUP(W$1,test!$A$3:$F$32,5,FALSE) - VLOOKUP($A18,test!$A$3:$G$32,6,FALSE) &gt;= (test!$B$33)/1440),1,0)</f>
        <v>1</v>
      </c>
      <c r="X18" s="3">
        <f>IF(AND(VLOOKUP(X$1,test!$A$3:$F$32,5,FALSE) - VLOOKUP($A18,test!$A$3:$G$32,6,FALSE) &gt;= (test!$B$33)/1440),1,0)</f>
        <v>1</v>
      </c>
      <c r="Y18" s="3">
        <f>IF(AND(VLOOKUP(Y$1,test!$A$3:$F$32,5,FALSE) - VLOOKUP($A18,test!$A$3:$G$32,6,FALSE) &gt;= (test!$B$33)/1440),1,0)</f>
        <v>0</v>
      </c>
      <c r="Z18" s="3">
        <f>IF(AND(VLOOKUP(Z$1,test!$A$3:$F$32,5,FALSE) - VLOOKUP($A18,test!$A$3:$G$32,6,FALSE) &gt;= (test!$B$33)/1440),1,0)</f>
        <v>0</v>
      </c>
      <c r="AA18" s="3">
        <f>IF(AND(VLOOKUP(AA$1,test!$A$3:$F$32,5,FALSE) - VLOOKUP($A18,test!$A$3:$G$32,6,FALSE) &gt;= (test!$B$33)/1440),1,0)</f>
        <v>1</v>
      </c>
      <c r="AB18" s="3">
        <f>IF(AND(VLOOKUP(AB$1,test!$A$3:$F$32,5,FALSE) - VLOOKUP($A18,test!$A$3:$G$32,6,FALSE) &gt;= (test!$B$33)/1440),1,0)</f>
        <v>1</v>
      </c>
      <c r="AC18" s="3">
        <f>IF(AND(VLOOKUP(AC$1,test!$A$3:$F$32,5,FALSE) - VLOOKUP($A18,test!$A$3:$G$32,6,FALSE) &gt;= (test!$B$33)/1440),1,0)</f>
        <v>1</v>
      </c>
      <c r="AD18" s="3">
        <f>IF(AND(VLOOKUP(AD$1,test!$A$3:$F$32,5,FALSE) - VLOOKUP($A18,test!$A$3:$G$32,6,FALSE) &gt;= (test!$B$33)/1440),1,0)</f>
        <v>0</v>
      </c>
      <c r="AE18" s="3">
        <f>IF(AND(VLOOKUP(AE$1,test!$A$3:$F$32,5,FALSE) - VLOOKUP($A18,test!$A$3:$G$32,6,FALSE) &gt;= (test!$B$33)/1440),1,0)</f>
        <v>1</v>
      </c>
      <c r="AF18" s="3">
        <f>IF(AND(VLOOKUP(AF$1,test!$A$3:$F$32,5,FALSE) - VLOOKUP($A18,test!$A$3:$G$32,6,FALSE) &gt;= (test!$B$33)/1440),1,0)</f>
        <v>0</v>
      </c>
    </row>
    <row r="19" spans="1:32" x14ac:dyDescent="0.25">
      <c r="A19" t="s">
        <v>28</v>
      </c>
      <c r="B19">
        <v>0</v>
      </c>
      <c r="C19" s="3">
        <f>IF(AND(VLOOKUP(C$1,test!$A$3:$F$32,5,FALSE) - VLOOKUP($A19,test!$A$3:$G$32,6,FALSE) &gt;= (test!$B$33)/1440),1,0)</f>
        <v>0</v>
      </c>
      <c r="D19" s="3">
        <f>IF(AND(VLOOKUP(D$1,test!$A$3:$F$32,5,FALSE) - VLOOKUP($A19,test!$A$3:$G$32,6,FALSE) &gt;= (test!$B$33)/1440),1,0)</f>
        <v>0</v>
      </c>
      <c r="E19" s="3">
        <f>IF(AND(VLOOKUP(E$1,test!$A$3:$F$32,5,FALSE) - VLOOKUP($A19,test!$A$3:$G$32,6,FALSE) &gt;= (test!$B$33)/1440),1,0)</f>
        <v>0</v>
      </c>
      <c r="F19" s="3">
        <f>IF(AND(VLOOKUP(F$1,test!$A$3:$F$32,5,FALSE) - VLOOKUP($A19,test!$A$3:$G$32,6,FALSE) &gt;= (test!$B$33)/1440),1,0)</f>
        <v>1</v>
      </c>
      <c r="G19" s="3">
        <f>IF(AND(VLOOKUP(G$1,test!$A$3:$F$32,5,FALSE) - VLOOKUP($A19,test!$A$3:$G$32,6,FALSE) &gt;= (test!$B$33)/1440),1,0)</f>
        <v>1</v>
      </c>
      <c r="H19" s="3">
        <f>IF(AND(VLOOKUP(H$1,test!$A$3:$F$32,5,FALSE) - VLOOKUP($A19,test!$A$3:$G$32,6,FALSE) &gt;= (test!$B$33)/1440),1,0)</f>
        <v>1</v>
      </c>
      <c r="I19" s="3">
        <f>IF(AND(VLOOKUP(I$1,test!$A$3:$F$32,5,FALSE) - VLOOKUP($A19,test!$A$3:$G$32,6,FALSE) &gt;= (test!$B$33)/1440),1,0)</f>
        <v>1</v>
      </c>
      <c r="J19" s="3">
        <f>IF(AND(VLOOKUP(J$1,test!$A$3:$F$32,5,FALSE) - VLOOKUP($A19,test!$A$3:$G$32,6,FALSE) &gt;= (test!$B$33)/1440),1,0)</f>
        <v>1</v>
      </c>
      <c r="K19" s="3">
        <f>IF(AND(VLOOKUP(K$1,test!$A$3:$F$32,5,FALSE) - VLOOKUP($A19,test!$A$3:$G$32,6,FALSE) &gt;= (test!$B$33)/1440),1,0)</f>
        <v>0</v>
      </c>
      <c r="L19" s="3">
        <f>IF(AND(VLOOKUP(L$1,test!$A$3:$F$32,5,FALSE) - VLOOKUP($A19,test!$A$3:$G$32,6,FALSE) &gt;= (test!$B$33)/1440),1,0)</f>
        <v>0</v>
      </c>
      <c r="M19" s="3">
        <f>IF(AND(VLOOKUP(M$1,test!$A$3:$F$32,5,FALSE) - VLOOKUP($A19,test!$A$3:$G$32,6,FALSE) &gt;= (test!$B$33)/1440),1,0)</f>
        <v>0</v>
      </c>
      <c r="N19" s="3">
        <f>IF(AND(VLOOKUP(N$1,test!$A$3:$F$32,5,FALSE) - VLOOKUP($A19,test!$A$3:$G$32,6,FALSE) &gt;= (test!$B$33)/1440),1,0)</f>
        <v>1</v>
      </c>
      <c r="O19" s="3">
        <f>IF(AND(VLOOKUP(O$1,test!$A$3:$F$32,5,FALSE) - VLOOKUP($A19,test!$A$3:$G$32,6,FALSE) &gt;= (test!$B$33)/1440),1,0)</f>
        <v>1</v>
      </c>
      <c r="P19" s="3">
        <f>IF(AND(VLOOKUP(P$1,test!$A$3:$F$32,5,FALSE) - VLOOKUP($A19,test!$A$3:$G$32,6,FALSE) &gt;= (test!$B$33)/1440),1,0)</f>
        <v>0</v>
      </c>
      <c r="Q19" s="3">
        <f>IF(AND(VLOOKUP(Q$1,test!$A$3:$F$32,5,FALSE) - VLOOKUP($A19,test!$A$3:$G$32,6,FALSE) &gt;= (test!$B$33)/1440),1,0)</f>
        <v>0</v>
      </c>
      <c r="R19" s="3">
        <f>IF(AND(VLOOKUP(R$1,test!$A$3:$F$32,5,FALSE) - VLOOKUP($A19,test!$A$3:$G$32,6,FALSE) &gt;= (test!$B$33)/1440),1,0)</f>
        <v>0</v>
      </c>
      <c r="S19" s="3">
        <f>IF(AND(VLOOKUP(S$1,test!$A$3:$F$32,5,FALSE) - VLOOKUP($A19,test!$A$3:$G$32,6,FALSE) &gt;= (test!$B$33)/1440),1,0)</f>
        <v>0</v>
      </c>
      <c r="T19" s="3">
        <f>IF(AND(VLOOKUP(T$1,test!$A$3:$F$32,5,FALSE) - VLOOKUP($A19,test!$A$3:$G$32,6,FALSE) &gt;= (test!$B$33)/1440),1,0)</f>
        <v>0</v>
      </c>
      <c r="U19" s="3">
        <f>IF(AND(VLOOKUP(U$1,test!$A$3:$F$32,5,FALSE) - VLOOKUP($A19,test!$A$3:$G$32,6,FALSE) &gt;= (test!$B$33)/1440),1,0)</f>
        <v>0</v>
      </c>
      <c r="V19" s="3">
        <f>IF(AND(VLOOKUP(V$1,test!$A$3:$F$32,5,FALSE) - VLOOKUP($A19,test!$A$3:$G$32,6,FALSE) &gt;= (test!$B$33)/1440),1,0)</f>
        <v>1</v>
      </c>
      <c r="W19" s="3">
        <f>IF(AND(VLOOKUP(W$1,test!$A$3:$F$32,5,FALSE) - VLOOKUP($A19,test!$A$3:$G$32,6,FALSE) &gt;= (test!$B$33)/1440),1,0)</f>
        <v>1</v>
      </c>
      <c r="X19" s="3">
        <f>IF(AND(VLOOKUP(X$1,test!$A$3:$F$32,5,FALSE) - VLOOKUP($A19,test!$A$3:$G$32,6,FALSE) &gt;= (test!$B$33)/1440),1,0)</f>
        <v>1</v>
      </c>
      <c r="Y19" s="3">
        <f>IF(AND(VLOOKUP(Y$1,test!$A$3:$F$32,5,FALSE) - VLOOKUP($A19,test!$A$3:$G$32,6,FALSE) &gt;= (test!$B$33)/1440),1,0)</f>
        <v>0</v>
      </c>
      <c r="Z19" s="3">
        <f>IF(AND(VLOOKUP(Z$1,test!$A$3:$F$32,5,FALSE) - VLOOKUP($A19,test!$A$3:$G$32,6,FALSE) &gt;= (test!$B$33)/1440),1,0)</f>
        <v>0</v>
      </c>
      <c r="AA19" s="3">
        <f>IF(AND(VLOOKUP(AA$1,test!$A$3:$F$32,5,FALSE) - VLOOKUP($A19,test!$A$3:$G$32,6,FALSE) &gt;= (test!$B$33)/1440),1,0)</f>
        <v>0</v>
      </c>
      <c r="AB19" s="3">
        <f>IF(AND(VLOOKUP(AB$1,test!$A$3:$F$32,5,FALSE) - VLOOKUP($A19,test!$A$3:$G$32,6,FALSE) &gt;= (test!$B$33)/1440),1,0)</f>
        <v>1</v>
      </c>
      <c r="AC19" s="3">
        <f>IF(AND(VLOOKUP(AC$1,test!$A$3:$F$32,5,FALSE) - VLOOKUP($A19,test!$A$3:$G$32,6,FALSE) &gt;= (test!$B$33)/1440),1,0)</f>
        <v>1</v>
      </c>
      <c r="AD19" s="3">
        <f>IF(AND(VLOOKUP(AD$1,test!$A$3:$F$32,5,FALSE) - VLOOKUP($A19,test!$A$3:$G$32,6,FALSE) &gt;= (test!$B$33)/1440),1,0)</f>
        <v>0</v>
      </c>
      <c r="AE19" s="3">
        <f>IF(AND(VLOOKUP(AE$1,test!$A$3:$F$32,5,FALSE) - VLOOKUP($A19,test!$A$3:$G$32,6,FALSE) &gt;= (test!$B$33)/1440),1,0)</f>
        <v>0</v>
      </c>
      <c r="AF19" s="3">
        <f>IF(AND(VLOOKUP(AF$1,test!$A$3:$F$32,5,FALSE) - VLOOKUP($A19,test!$A$3:$G$32,6,FALSE) &gt;= (test!$B$33)/1440),1,0)</f>
        <v>0</v>
      </c>
    </row>
    <row r="20" spans="1:32" x14ac:dyDescent="0.25">
      <c r="A20" t="s">
        <v>29</v>
      </c>
      <c r="B20">
        <v>0</v>
      </c>
      <c r="C20" s="3">
        <f>IF(AND(VLOOKUP(C$1,test!$A$3:$F$32,5,FALSE) - VLOOKUP($A20,test!$A$3:$G$32,6,FALSE) &gt;= (test!$B$33)/1440),1,0)</f>
        <v>0</v>
      </c>
      <c r="D20" s="3">
        <f>IF(AND(VLOOKUP(D$1,test!$A$3:$F$32,5,FALSE) - VLOOKUP($A20,test!$A$3:$G$32,6,FALSE) &gt;= (test!$B$33)/1440),1,0)</f>
        <v>0</v>
      </c>
      <c r="E20" s="3">
        <f>IF(AND(VLOOKUP(E$1,test!$A$3:$F$32,5,FALSE) - VLOOKUP($A20,test!$A$3:$G$32,6,FALSE) &gt;= (test!$B$33)/1440),1,0)</f>
        <v>0</v>
      </c>
      <c r="F20" s="3">
        <f>IF(AND(VLOOKUP(F$1,test!$A$3:$F$32,5,FALSE) - VLOOKUP($A20,test!$A$3:$G$32,6,FALSE) &gt;= (test!$B$33)/1440),1,0)</f>
        <v>0</v>
      </c>
      <c r="G20" s="3">
        <f>IF(AND(VLOOKUP(G$1,test!$A$3:$F$32,5,FALSE) - VLOOKUP($A20,test!$A$3:$G$32,6,FALSE) &gt;= (test!$B$33)/1440),1,0)</f>
        <v>0</v>
      </c>
      <c r="H20" s="3">
        <f>IF(AND(VLOOKUP(H$1,test!$A$3:$F$32,5,FALSE) - VLOOKUP($A20,test!$A$3:$G$32,6,FALSE) &gt;= (test!$B$33)/1440),1,0)</f>
        <v>1</v>
      </c>
      <c r="I20" s="3">
        <f>IF(AND(VLOOKUP(I$1,test!$A$3:$F$32,5,FALSE) - VLOOKUP($A20,test!$A$3:$G$32,6,FALSE) &gt;= (test!$B$33)/1440),1,0)</f>
        <v>1</v>
      </c>
      <c r="J20" s="3">
        <f>IF(AND(VLOOKUP(J$1,test!$A$3:$F$32,5,FALSE) - VLOOKUP($A20,test!$A$3:$G$32,6,FALSE) &gt;= (test!$B$33)/1440),1,0)</f>
        <v>1</v>
      </c>
      <c r="K20" s="3">
        <f>IF(AND(VLOOKUP(K$1,test!$A$3:$F$32,5,FALSE) - VLOOKUP($A20,test!$A$3:$G$32,6,FALSE) &gt;= (test!$B$33)/1440),1,0)</f>
        <v>0</v>
      </c>
      <c r="L20" s="3">
        <f>IF(AND(VLOOKUP(L$1,test!$A$3:$F$32,5,FALSE) - VLOOKUP($A20,test!$A$3:$G$32,6,FALSE) &gt;= (test!$B$33)/1440),1,0)</f>
        <v>0</v>
      </c>
      <c r="M20" s="3">
        <f>IF(AND(VLOOKUP(M$1,test!$A$3:$F$32,5,FALSE) - VLOOKUP($A20,test!$A$3:$G$32,6,FALSE) &gt;= (test!$B$33)/1440),1,0)</f>
        <v>0</v>
      </c>
      <c r="N20" s="3">
        <f>IF(AND(VLOOKUP(N$1,test!$A$3:$F$32,5,FALSE) - VLOOKUP($A20,test!$A$3:$G$32,6,FALSE) &gt;= (test!$B$33)/1440),1,0)</f>
        <v>1</v>
      </c>
      <c r="O20" s="3">
        <f>IF(AND(VLOOKUP(O$1,test!$A$3:$F$32,5,FALSE) - VLOOKUP($A20,test!$A$3:$G$32,6,FALSE) &gt;= (test!$B$33)/1440),1,0)</f>
        <v>1</v>
      </c>
      <c r="P20" s="3">
        <f>IF(AND(VLOOKUP(P$1,test!$A$3:$F$32,5,FALSE) - VLOOKUP($A20,test!$A$3:$G$32,6,FALSE) &gt;= (test!$B$33)/1440),1,0)</f>
        <v>0</v>
      </c>
      <c r="Q20" s="3">
        <f>IF(AND(VLOOKUP(Q$1,test!$A$3:$F$32,5,FALSE) - VLOOKUP($A20,test!$A$3:$G$32,6,FALSE) &gt;= (test!$B$33)/1440),1,0)</f>
        <v>0</v>
      </c>
      <c r="R20" s="3">
        <f>IF(AND(VLOOKUP(R$1,test!$A$3:$F$32,5,FALSE) - VLOOKUP($A20,test!$A$3:$G$32,6,FALSE) &gt;= (test!$B$33)/1440),1,0)</f>
        <v>0</v>
      </c>
      <c r="S20" s="3">
        <f>IF(AND(VLOOKUP(S$1,test!$A$3:$F$32,5,FALSE) - VLOOKUP($A20,test!$A$3:$G$32,6,FALSE) &gt;= (test!$B$33)/1440),1,0)</f>
        <v>0</v>
      </c>
      <c r="T20" s="3">
        <f>IF(AND(VLOOKUP(T$1,test!$A$3:$F$32,5,FALSE) - VLOOKUP($A20,test!$A$3:$G$32,6,FALSE) &gt;= (test!$B$33)/1440),1,0)</f>
        <v>0</v>
      </c>
      <c r="U20" s="3">
        <f>IF(AND(VLOOKUP(U$1,test!$A$3:$F$32,5,FALSE) - VLOOKUP($A20,test!$A$3:$G$32,6,FALSE) &gt;= (test!$B$33)/1440),1,0)</f>
        <v>0</v>
      </c>
      <c r="V20" s="3">
        <f>IF(AND(VLOOKUP(V$1,test!$A$3:$F$32,5,FALSE) - VLOOKUP($A20,test!$A$3:$G$32,6,FALSE) &gt;= (test!$B$33)/1440),1,0)</f>
        <v>0</v>
      </c>
      <c r="W20" s="3">
        <f>IF(AND(VLOOKUP(W$1,test!$A$3:$F$32,5,FALSE) - VLOOKUP($A20,test!$A$3:$G$32,6,FALSE) &gt;= (test!$B$33)/1440),1,0)</f>
        <v>1</v>
      </c>
      <c r="X20" s="3">
        <f>IF(AND(VLOOKUP(X$1,test!$A$3:$F$32,5,FALSE) - VLOOKUP($A20,test!$A$3:$G$32,6,FALSE) &gt;= (test!$B$33)/1440),1,0)</f>
        <v>1</v>
      </c>
      <c r="Y20" s="3">
        <f>IF(AND(VLOOKUP(Y$1,test!$A$3:$F$32,5,FALSE) - VLOOKUP($A20,test!$A$3:$G$32,6,FALSE) &gt;= (test!$B$33)/1440),1,0)</f>
        <v>0</v>
      </c>
      <c r="Z20" s="3">
        <f>IF(AND(VLOOKUP(Z$1,test!$A$3:$F$32,5,FALSE) - VLOOKUP($A20,test!$A$3:$G$32,6,FALSE) &gt;= (test!$B$33)/1440),1,0)</f>
        <v>0</v>
      </c>
      <c r="AA20" s="3">
        <f>IF(AND(VLOOKUP(AA$1,test!$A$3:$F$32,5,FALSE) - VLOOKUP($A20,test!$A$3:$G$32,6,FALSE) &gt;= (test!$B$33)/1440),1,0)</f>
        <v>0</v>
      </c>
      <c r="AB20" s="3">
        <f>IF(AND(VLOOKUP(AB$1,test!$A$3:$F$32,5,FALSE) - VLOOKUP($A20,test!$A$3:$G$32,6,FALSE) &gt;= (test!$B$33)/1440),1,0)</f>
        <v>0</v>
      </c>
      <c r="AC20" s="3">
        <f>IF(AND(VLOOKUP(AC$1,test!$A$3:$F$32,5,FALSE) - VLOOKUP($A20,test!$A$3:$G$32,6,FALSE) &gt;= (test!$B$33)/1440),1,0)</f>
        <v>1</v>
      </c>
      <c r="AD20" s="3">
        <f>IF(AND(VLOOKUP(AD$1,test!$A$3:$F$32,5,FALSE) - VLOOKUP($A20,test!$A$3:$G$32,6,FALSE) &gt;= (test!$B$33)/1440),1,0)</f>
        <v>0</v>
      </c>
      <c r="AE20" s="3">
        <f>IF(AND(VLOOKUP(AE$1,test!$A$3:$F$32,5,FALSE) - VLOOKUP($A20,test!$A$3:$G$32,6,FALSE) &gt;= (test!$B$33)/1440),1,0)</f>
        <v>0</v>
      </c>
      <c r="AF20" s="3">
        <f>IF(AND(VLOOKUP(AF$1,test!$A$3:$F$32,5,FALSE) - VLOOKUP($A20,test!$A$3:$G$32,6,FALSE) &gt;= (test!$B$33)/1440),1,0)</f>
        <v>0</v>
      </c>
    </row>
    <row r="21" spans="1:32" x14ac:dyDescent="0.25">
      <c r="A21" t="s">
        <v>30</v>
      </c>
      <c r="B21">
        <v>0</v>
      </c>
      <c r="C21" s="3">
        <f>IF(AND(VLOOKUP(C$1,test!$A$3:$F$32,5,FALSE) - VLOOKUP($A21,test!$A$3:$G$32,6,FALSE) &gt;= (test!$B$33)/1440),1,0)</f>
        <v>0</v>
      </c>
      <c r="D21" s="3">
        <f>IF(AND(VLOOKUP(D$1,test!$A$3:$F$32,5,FALSE) - VLOOKUP($A21,test!$A$3:$G$32,6,FALSE) &gt;= (test!$B$33)/1440),1,0)</f>
        <v>0</v>
      </c>
      <c r="E21" s="3">
        <f>IF(AND(VLOOKUP(E$1,test!$A$3:$F$32,5,FALSE) - VLOOKUP($A21,test!$A$3:$G$32,6,FALSE) &gt;= (test!$B$33)/1440),1,0)</f>
        <v>0</v>
      </c>
      <c r="F21" s="3">
        <f>IF(AND(VLOOKUP(F$1,test!$A$3:$F$32,5,FALSE) - VLOOKUP($A21,test!$A$3:$G$32,6,FALSE) &gt;= (test!$B$33)/1440),1,0)</f>
        <v>0</v>
      </c>
      <c r="G21" s="3">
        <f>IF(AND(VLOOKUP(G$1,test!$A$3:$F$32,5,FALSE) - VLOOKUP($A21,test!$A$3:$G$32,6,FALSE) &gt;= (test!$B$33)/1440),1,0)</f>
        <v>0</v>
      </c>
      <c r="H21" s="3">
        <f>IF(AND(VLOOKUP(H$1,test!$A$3:$F$32,5,FALSE) - VLOOKUP($A21,test!$A$3:$G$32,6,FALSE) &gt;= (test!$B$33)/1440),1,0)</f>
        <v>0</v>
      </c>
      <c r="I21" s="3">
        <f>IF(AND(VLOOKUP(I$1,test!$A$3:$F$32,5,FALSE) - VLOOKUP($A21,test!$A$3:$G$32,6,FALSE) &gt;= (test!$B$33)/1440),1,0)</f>
        <v>1</v>
      </c>
      <c r="J21" s="3">
        <f>IF(AND(VLOOKUP(J$1,test!$A$3:$F$32,5,FALSE) - VLOOKUP($A21,test!$A$3:$G$32,6,FALSE) &gt;= (test!$B$33)/1440),1,0)</f>
        <v>1</v>
      </c>
      <c r="K21" s="3">
        <f>IF(AND(VLOOKUP(K$1,test!$A$3:$F$32,5,FALSE) - VLOOKUP($A21,test!$A$3:$G$32,6,FALSE) &gt;= (test!$B$33)/1440),1,0)</f>
        <v>0</v>
      </c>
      <c r="L21" s="3">
        <f>IF(AND(VLOOKUP(L$1,test!$A$3:$F$32,5,FALSE) - VLOOKUP($A21,test!$A$3:$G$32,6,FALSE) &gt;= (test!$B$33)/1440),1,0)</f>
        <v>0</v>
      </c>
      <c r="M21" s="3">
        <f>IF(AND(VLOOKUP(M$1,test!$A$3:$F$32,5,FALSE) - VLOOKUP($A21,test!$A$3:$G$32,6,FALSE) &gt;= (test!$B$33)/1440),1,0)</f>
        <v>0</v>
      </c>
      <c r="N21" s="3">
        <f>IF(AND(VLOOKUP(N$1,test!$A$3:$F$32,5,FALSE) - VLOOKUP($A21,test!$A$3:$G$32,6,FALSE) &gt;= (test!$B$33)/1440),1,0)</f>
        <v>1</v>
      </c>
      <c r="O21" s="3">
        <f>IF(AND(VLOOKUP(O$1,test!$A$3:$F$32,5,FALSE) - VLOOKUP($A21,test!$A$3:$G$32,6,FALSE) &gt;= (test!$B$33)/1440),1,0)</f>
        <v>1</v>
      </c>
      <c r="P21" s="3">
        <f>IF(AND(VLOOKUP(P$1,test!$A$3:$F$32,5,FALSE) - VLOOKUP($A21,test!$A$3:$G$32,6,FALSE) &gt;= (test!$B$33)/1440),1,0)</f>
        <v>0</v>
      </c>
      <c r="Q21" s="3">
        <f>IF(AND(VLOOKUP(Q$1,test!$A$3:$F$32,5,FALSE) - VLOOKUP($A21,test!$A$3:$G$32,6,FALSE) &gt;= (test!$B$33)/1440),1,0)</f>
        <v>0</v>
      </c>
      <c r="R21" s="3">
        <f>IF(AND(VLOOKUP(R$1,test!$A$3:$F$32,5,FALSE) - VLOOKUP($A21,test!$A$3:$G$32,6,FALSE) &gt;= (test!$B$33)/1440),1,0)</f>
        <v>0</v>
      </c>
      <c r="S21" s="3">
        <f>IF(AND(VLOOKUP(S$1,test!$A$3:$F$32,5,FALSE) - VLOOKUP($A21,test!$A$3:$G$32,6,FALSE) &gt;= (test!$B$33)/1440),1,0)</f>
        <v>0</v>
      </c>
      <c r="T21" s="3">
        <f>IF(AND(VLOOKUP(T$1,test!$A$3:$F$32,5,FALSE) - VLOOKUP($A21,test!$A$3:$G$32,6,FALSE) &gt;= (test!$B$33)/1440),1,0)</f>
        <v>0</v>
      </c>
      <c r="U21" s="3">
        <f>IF(AND(VLOOKUP(U$1,test!$A$3:$F$32,5,FALSE) - VLOOKUP($A21,test!$A$3:$G$32,6,FALSE) &gt;= (test!$B$33)/1440),1,0)</f>
        <v>0</v>
      </c>
      <c r="V21" s="3">
        <f>IF(AND(VLOOKUP(V$1,test!$A$3:$F$32,5,FALSE) - VLOOKUP($A21,test!$A$3:$G$32,6,FALSE) &gt;= (test!$B$33)/1440),1,0)</f>
        <v>0</v>
      </c>
      <c r="W21" s="3">
        <f>IF(AND(VLOOKUP(W$1,test!$A$3:$F$32,5,FALSE) - VLOOKUP($A21,test!$A$3:$G$32,6,FALSE) &gt;= (test!$B$33)/1440),1,0)</f>
        <v>0</v>
      </c>
      <c r="X21" s="3">
        <f>IF(AND(VLOOKUP(X$1,test!$A$3:$F$32,5,FALSE) - VLOOKUP($A21,test!$A$3:$G$32,6,FALSE) &gt;= (test!$B$33)/1440),1,0)</f>
        <v>1</v>
      </c>
      <c r="Y21" s="3">
        <f>IF(AND(VLOOKUP(Y$1,test!$A$3:$F$32,5,FALSE) - VLOOKUP($A21,test!$A$3:$G$32,6,FALSE) &gt;= (test!$B$33)/1440),1,0)</f>
        <v>0</v>
      </c>
      <c r="Z21" s="3">
        <f>IF(AND(VLOOKUP(Z$1,test!$A$3:$F$32,5,FALSE) - VLOOKUP($A21,test!$A$3:$G$32,6,FALSE) &gt;= (test!$B$33)/1440),1,0)</f>
        <v>0</v>
      </c>
      <c r="AA21" s="3">
        <f>IF(AND(VLOOKUP(AA$1,test!$A$3:$F$32,5,FALSE) - VLOOKUP($A21,test!$A$3:$G$32,6,FALSE) &gt;= (test!$B$33)/1440),1,0)</f>
        <v>0</v>
      </c>
      <c r="AB21" s="3">
        <f>IF(AND(VLOOKUP(AB$1,test!$A$3:$F$32,5,FALSE) - VLOOKUP($A21,test!$A$3:$G$32,6,FALSE) &gt;= (test!$B$33)/1440),1,0)</f>
        <v>0</v>
      </c>
      <c r="AC21" s="3">
        <f>IF(AND(VLOOKUP(AC$1,test!$A$3:$F$32,5,FALSE) - VLOOKUP($A21,test!$A$3:$G$32,6,FALSE) &gt;= (test!$B$33)/1440),1,0)</f>
        <v>0</v>
      </c>
      <c r="AD21" s="3">
        <f>IF(AND(VLOOKUP(AD$1,test!$A$3:$F$32,5,FALSE) - VLOOKUP($A21,test!$A$3:$G$32,6,FALSE) &gt;= (test!$B$33)/1440),1,0)</f>
        <v>0</v>
      </c>
      <c r="AE21" s="3">
        <f>IF(AND(VLOOKUP(AE$1,test!$A$3:$F$32,5,FALSE) - VLOOKUP($A21,test!$A$3:$G$32,6,FALSE) &gt;= (test!$B$33)/1440),1,0)</f>
        <v>0</v>
      </c>
      <c r="AF21" s="3">
        <f>IF(AND(VLOOKUP(AF$1,test!$A$3:$F$32,5,FALSE) - VLOOKUP($A21,test!$A$3:$G$32,6,FALSE) &gt;= (test!$B$33)/1440),1,0)</f>
        <v>0</v>
      </c>
    </row>
    <row r="22" spans="1:32" x14ac:dyDescent="0.25">
      <c r="A22" t="s">
        <v>31</v>
      </c>
      <c r="B22">
        <v>0</v>
      </c>
      <c r="C22" s="3">
        <f>IF(AND(VLOOKUP(C$1,test!$A$3:$F$32,5,FALSE) - VLOOKUP($A22,test!$A$3:$G$32,6,FALSE) &gt;= (test!$B$33)/1440),1,0)</f>
        <v>0</v>
      </c>
      <c r="D22" s="3">
        <f>IF(AND(VLOOKUP(D$1,test!$A$3:$F$32,5,FALSE) - VLOOKUP($A22,test!$A$3:$G$32,6,FALSE) &gt;= (test!$B$33)/1440),1,0)</f>
        <v>0</v>
      </c>
      <c r="E22" s="3">
        <f>IF(AND(VLOOKUP(E$1,test!$A$3:$F$32,5,FALSE) - VLOOKUP($A22,test!$A$3:$G$32,6,FALSE) &gt;= (test!$B$33)/1440),1,0)</f>
        <v>0</v>
      </c>
      <c r="F22" s="3">
        <f>IF(AND(VLOOKUP(F$1,test!$A$3:$F$32,5,FALSE) - VLOOKUP($A22,test!$A$3:$G$32,6,FALSE) &gt;= (test!$B$33)/1440),1,0)</f>
        <v>0</v>
      </c>
      <c r="G22" s="3">
        <f>IF(AND(VLOOKUP(G$1,test!$A$3:$F$32,5,FALSE) - VLOOKUP($A22,test!$A$3:$G$32,6,FALSE) &gt;= (test!$B$33)/1440),1,0)</f>
        <v>0</v>
      </c>
      <c r="H22" s="3">
        <f>IF(AND(VLOOKUP(H$1,test!$A$3:$F$32,5,FALSE) - VLOOKUP($A22,test!$A$3:$G$32,6,FALSE) &gt;= (test!$B$33)/1440),1,0)</f>
        <v>0</v>
      </c>
      <c r="I22" s="3">
        <f>IF(AND(VLOOKUP(I$1,test!$A$3:$F$32,5,FALSE) - VLOOKUP($A22,test!$A$3:$G$32,6,FALSE) &gt;= (test!$B$33)/1440),1,0)</f>
        <v>0</v>
      </c>
      <c r="J22" s="3">
        <f>IF(AND(VLOOKUP(J$1,test!$A$3:$F$32,5,FALSE) - VLOOKUP($A22,test!$A$3:$G$32,6,FALSE) &gt;= (test!$B$33)/1440),1,0)</f>
        <v>1</v>
      </c>
      <c r="K22" s="3">
        <f>IF(AND(VLOOKUP(K$1,test!$A$3:$F$32,5,FALSE) - VLOOKUP($A22,test!$A$3:$G$32,6,FALSE) &gt;= (test!$B$33)/1440),1,0)</f>
        <v>0</v>
      </c>
      <c r="L22" s="3">
        <f>IF(AND(VLOOKUP(L$1,test!$A$3:$F$32,5,FALSE) - VLOOKUP($A22,test!$A$3:$G$32,6,FALSE) &gt;= (test!$B$33)/1440),1,0)</f>
        <v>0</v>
      </c>
      <c r="M22" s="3">
        <f>IF(AND(VLOOKUP(M$1,test!$A$3:$F$32,5,FALSE) - VLOOKUP($A22,test!$A$3:$G$32,6,FALSE) &gt;= (test!$B$33)/1440),1,0)</f>
        <v>0</v>
      </c>
      <c r="N22" s="3">
        <f>IF(AND(VLOOKUP(N$1,test!$A$3:$F$32,5,FALSE) - VLOOKUP($A22,test!$A$3:$G$32,6,FALSE) &gt;= (test!$B$33)/1440),1,0)</f>
        <v>0</v>
      </c>
      <c r="O22" s="3">
        <f>IF(AND(VLOOKUP(O$1,test!$A$3:$F$32,5,FALSE) - VLOOKUP($A22,test!$A$3:$G$32,6,FALSE) &gt;= (test!$B$33)/1440),1,0)</f>
        <v>1</v>
      </c>
      <c r="P22" s="3">
        <f>IF(AND(VLOOKUP(P$1,test!$A$3:$F$32,5,FALSE) - VLOOKUP($A22,test!$A$3:$G$32,6,FALSE) &gt;= (test!$B$33)/1440),1,0)</f>
        <v>0</v>
      </c>
      <c r="Q22" s="3">
        <f>IF(AND(VLOOKUP(Q$1,test!$A$3:$F$32,5,FALSE) - VLOOKUP($A22,test!$A$3:$G$32,6,FALSE) &gt;= (test!$B$33)/1440),1,0)</f>
        <v>0</v>
      </c>
      <c r="R22" s="3">
        <f>IF(AND(VLOOKUP(R$1,test!$A$3:$F$32,5,FALSE) - VLOOKUP($A22,test!$A$3:$G$32,6,FALSE) &gt;= (test!$B$33)/1440),1,0)</f>
        <v>0</v>
      </c>
      <c r="S22" s="3">
        <f>IF(AND(VLOOKUP(S$1,test!$A$3:$F$32,5,FALSE) - VLOOKUP($A22,test!$A$3:$G$32,6,FALSE) &gt;= (test!$B$33)/1440),1,0)</f>
        <v>0</v>
      </c>
      <c r="T22" s="3">
        <f>IF(AND(VLOOKUP(T$1,test!$A$3:$F$32,5,FALSE) - VLOOKUP($A22,test!$A$3:$G$32,6,FALSE) &gt;= (test!$B$33)/1440),1,0)</f>
        <v>0</v>
      </c>
      <c r="U22" s="3">
        <f>IF(AND(VLOOKUP(U$1,test!$A$3:$F$32,5,FALSE) - VLOOKUP($A22,test!$A$3:$G$32,6,FALSE) &gt;= (test!$B$33)/1440),1,0)</f>
        <v>0</v>
      </c>
      <c r="V22" s="3">
        <f>IF(AND(VLOOKUP(V$1,test!$A$3:$F$32,5,FALSE) - VLOOKUP($A22,test!$A$3:$G$32,6,FALSE) &gt;= (test!$B$33)/1440),1,0)</f>
        <v>0</v>
      </c>
      <c r="W22" s="3">
        <f>IF(AND(VLOOKUP(W$1,test!$A$3:$F$32,5,FALSE) - VLOOKUP($A22,test!$A$3:$G$32,6,FALSE) &gt;= (test!$B$33)/1440),1,0)</f>
        <v>0</v>
      </c>
      <c r="X22" s="3">
        <f>IF(AND(VLOOKUP(X$1,test!$A$3:$F$32,5,FALSE) - VLOOKUP($A22,test!$A$3:$G$32,6,FALSE) &gt;= (test!$B$33)/1440),1,0)</f>
        <v>0</v>
      </c>
      <c r="Y22" s="3">
        <f>IF(AND(VLOOKUP(Y$1,test!$A$3:$F$32,5,FALSE) - VLOOKUP($A22,test!$A$3:$G$32,6,FALSE) &gt;= (test!$B$33)/1440),1,0)</f>
        <v>0</v>
      </c>
      <c r="Z22" s="3">
        <f>IF(AND(VLOOKUP(Z$1,test!$A$3:$F$32,5,FALSE) - VLOOKUP($A22,test!$A$3:$G$32,6,FALSE) &gt;= (test!$B$33)/1440),1,0)</f>
        <v>0</v>
      </c>
      <c r="AA22" s="3">
        <f>IF(AND(VLOOKUP(AA$1,test!$A$3:$F$32,5,FALSE) - VLOOKUP($A22,test!$A$3:$G$32,6,FALSE) &gt;= (test!$B$33)/1440),1,0)</f>
        <v>0</v>
      </c>
      <c r="AB22" s="3">
        <f>IF(AND(VLOOKUP(AB$1,test!$A$3:$F$32,5,FALSE) - VLOOKUP($A22,test!$A$3:$G$32,6,FALSE) &gt;= (test!$B$33)/1440),1,0)</f>
        <v>0</v>
      </c>
      <c r="AC22" s="3">
        <f>IF(AND(VLOOKUP(AC$1,test!$A$3:$F$32,5,FALSE) - VLOOKUP($A22,test!$A$3:$G$32,6,FALSE) &gt;= (test!$B$33)/1440),1,0)</f>
        <v>0</v>
      </c>
      <c r="AD22" s="3">
        <f>IF(AND(VLOOKUP(AD$1,test!$A$3:$F$32,5,FALSE) - VLOOKUP($A22,test!$A$3:$G$32,6,FALSE) &gt;= (test!$B$33)/1440),1,0)</f>
        <v>0</v>
      </c>
      <c r="AE22" s="3">
        <f>IF(AND(VLOOKUP(AE$1,test!$A$3:$F$32,5,FALSE) - VLOOKUP($A22,test!$A$3:$G$32,6,FALSE) &gt;= (test!$B$33)/1440),1,0)</f>
        <v>0</v>
      </c>
      <c r="AF22" s="3">
        <f>IF(AND(VLOOKUP(AF$1,test!$A$3:$F$32,5,FALSE) - VLOOKUP($A22,test!$A$3:$G$32,6,FALSE) &gt;= (test!$B$33)/1440),1,0)</f>
        <v>0</v>
      </c>
    </row>
    <row r="23" spans="1:32" x14ac:dyDescent="0.25">
      <c r="A23" t="s">
        <v>32</v>
      </c>
      <c r="B23">
        <v>0</v>
      </c>
      <c r="C23" s="3">
        <f>IF(AND(VLOOKUP(C$1,test!$A$3:$F$32,5,FALSE) - VLOOKUP($A23,test!$A$3:$G$32,6,FALSE) &gt;= (test!$B$33)/1440),1,0)</f>
        <v>0</v>
      </c>
      <c r="D23" s="3">
        <f>IF(AND(VLOOKUP(D$1,test!$A$3:$F$32,5,FALSE) - VLOOKUP($A23,test!$A$3:$G$32,6,FALSE) &gt;= (test!$B$33)/1440),1,0)</f>
        <v>0</v>
      </c>
      <c r="E23" s="3">
        <f>IF(AND(VLOOKUP(E$1,test!$A$3:$F$32,5,FALSE) - VLOOKUP($A23,test!$A$3:$G$32,6,FALSE) &gt;= (test!$B$33)/1440),1,0)</f>
        <v>0</v>
      </c>
      <c r="F23" s="3">
        <f>IF(AND(VLOOKUP(F$1,test!$A$3:$F$32,5,FALSE) - VLOOKUP($A23,test!$A$3:$G$32,6,FALSE) &gt;= (test!$B$33)/1440),1,0)</f>
        <v>0</v>
      </c>
      <c r="G23" s="3">
        <f>IF(AND(VLOOKUP(G$1,test!$A$3:$F$32,5,FALSE) - VLOOKUP($A23,test!$A$3:$G$32,6,FALSE) &gt;= (test!$B$33)/1440),1,0)</f>
        <v>0</v>
      </c>
      <c r="H23" s="3">
        <f>IF(AND(VLOOKUP(H$1,test!$A$3:$F$32,5,FALSE) - VLOOKUP($A23,test!$A$3:$G$32,6,FALSE) &gt;= (test!$B$33)/1440),1,0)</f>
        <v>0</v>
      </c>
      <c r="I23" s="3">
        <f>IF(AND(VLOOKUP(I$1,test!$A$3:$F$32,5,FALSE) - VLOOKUP($A23,test!$A$3:$G$32,6,FALSE) &gt;= (test!$B$33)/1440),1,0)</f>
        <v>0</v>
      </c>
      <c r="J23" s="3">
        <f>IF(AND(VLOOKUP(J$1,test!$A$3:$F$32,5,FALSE) - VLOOKUP($A23,test!$A$3:$G$32,6,FALSE) &gt;= (test!$B$33)/1440),1,0)</f>
        <v>0</v>
      </c>
      <c r="K23" s="3">
        <f>IF(AND(VLOOKUP(K$1,test!$A$3:$F$32,5,FALSE) - VLOOKUP($A23,test!$A$3:$G$32,6,FALSE) &gt;= (test!$B$33)/1440),1,0)</f>
        <v>0</v>
      </c>
      <c r="L23" s="3">
        <f>IF(AND(VLOOKUP(L$1,test!$A$3:$F$32,5,FALSE) - VLOOKUP($A23,test!$A$3:$G$32,6,FALSE) &gt;= (test!$B$33)/1440),1,0)</f>
        <v>0</v>
      </c>
      <c r="M23" s="3">
        <f>IF(AND(VLOOKUP(M$1,test!$A$3:$F$32,5,FALSE) - VLOOKUP($A23,test!$A$3:$G$32,6,FALSE) &gt;= (test!$B$33)/1440),1,0)</f>
        <v>0</v>
      </c>
      <c r="N23" s="3">
        <f>IF(AND(VLOOKUP(N$1,test!$A$3:$F$32,5,FALSE) - VLOOKUP($A23,test!$A$3:$G$32,6,FALSE) &gt;= (test!$B$33)/1440),1,0)</f>
        <v>0</v>
      </c>
      <c r="O23" s="3">
        <f>IF(AND(VLOOKUP(O$1,test!$A$3:$F$32,5,FALSE) - VLOOKUP($A23,test!$A$3:$G$32,6,FALSE) &gt;= (test!$B$33)/1440),1,0)</f>
        <v>0</v>
      </c>
      <c r="P23" s="3">
        <f>IF(AND(VLOOKUP(P$1,test!$A$3:$F$32,5,FALSE) - VLOOKUP($A23,test!$A$3:$G$32,6,FALSE) &gt;= (test!$B$33)/1440),1,0)</f>
        <v>0</v>
      </c>
      <c r="Q23" s="3">
        <f>IF(AND(VLOOKUP(Q$1,test!$A$3:$F$32,5,FALSE) - VLOOKUP($A23,test!$A$3:$G$32,6,FALSE) &gt;= (test!$B$33)/1440),1,0)</f>
        <v>0</v>
      </c>
      <c r="R23" s="3">
        <f>IF(AND(VLOOKUP(R$1,test!$A$3:$F$32,5,FALSE) - VLOOKUP($A23,test!$A$3:$G$32,6,FALSE) &gt;= (test!$B$33)/1440),1,0)</f>
        <v>0</v>
      </c>
      <c r="S23" s="3">
        <f>IF(AND(VLOOKUP(S$1,test!$A$3:$F$32,5,FALSE) - VLOOKUP($A23,test!$A$3:$G$32,6,FALSE) &gt;= (test!$B$33)/1440),1,0)</f>
        <v>0</v>
      </c>
      <c r="T23" s="3">
        <f>IF(AND(VLOOKUP(T$1,test!$A$3:$F$32,5,FALSE) - VLOOKUP($A23,test!$A$3:$G$32,6,FALSE) &gt;= (test!$B$33)/1440),1,0)</f>
        <v>0</v>
      </c>
      <c r="U23" s="3">
        <f>IF(AND(VLOOKUP(U$1,test!$A$3:$F$32,5,FALSE) - VLOOKUP($A23,test!$A$3:$G$32,6,FALSE) &gt;= (test!$B$33)/1440),1,0)</f>
        <v>0</v>
      </c>
      <c r="V23" s="3">
        <f>IF(AND(VLOOKUP(V$1,test!$A$3:$F$32,5,FALSE) - VLOOKUP($A23,test!$A$3:$G$32,6,FALSE) &gt;= (test!$B$33)/1440),1,0)</f>
        <v>0</v>
      </c>
      <c r="W23" s="3">
        <f>IF(AND(VLOOKUP(W$1,test!$A$3:$F$32,5,FALSE) - VLOOKUP($A23,test!$A$3:$G$32,6,FALSE) &gt;= (test!$B$33)/1440),1,0)</f>
        <v>0</v>
      </c>
      <c r="X23" s="3">
        <f>IF(AND(VLOOKUP(X$1,test!$A$3:$F$32,5,FALSE) - VLOOKUP($A23,test!$A$3:$G$32,6,FALSE) &gt;= (test!$B$33)/1440),1,0)</f>
        <v>0</v>
      </c>
      <c r="Y23" s="3">
        <f>IF(AND(VLOOKUP(Y$1,test!$A$3:$F$32,5,FALSE) - VLOOKUP($A23,test!$A$3:$G$32,6,FALSE) &gt;= (test!$B$33)/1440),1,0)</f>
        <v>0</v>
      </c>
      <c r="Z23" s="3">
        <f>IF(AND(VLOOKUP(Z$1,test!$A$3:$F$32,5,FALSE) - VLOOKUP($A23,test!$A$3:$G$32,6,FALSE) &gt;= (test!$B$33)/1440),1,0)</f>
        <v>0</v>
      </c>
      <c r="AA23" s="3">
        <f>IF(AND(VLOOKUP(AA$1,test!$A$3:$F$32,5,FALSE) - VLOOKUP($A23,test!$A$3:$G$32,6,FALSE) &gt;= (test!$B$33)/1440),1,0)</f>
        <v>0</v>
      </c>
      <c r="AB23" s="3">
        <f>IF(AND(VLOOKUP(AB$1,test!$A$3:$F$32,5,FALSE) - VLOOKUP($A23,test!$A$3:$G$32,6,FALSE) &gt;= (test!$B$33)/1440),1,0)</f>
        <v>0</v>
      </c>
      <c r="AC23" s="3">
        <f>IF(AND(VLOOKUP(AC$1,test!$A$3:$F$32,5,FALSE) - VLOOKUP($A23,test!$A$3:$G$32,6,FALSE) &gt;= (test!$B$33)/1440),1,0)</f>
        <v>0</v>
      </c>
      <c r="AD23" s="3">
        <f>IF(AND(VLOOKUP(AD$1,test!$A$3:$F$32,5,FALSE) - VLOOKUP($A23,test!$A$3:$G$32,6,FALSE) &gt;= (test!$B$33)/1440),1,0)</f>
        <v>0</v>
      </c>
      <c r="AE23" s="3">
        <f>IF(AND(VLOOKUP(AE$1,test!$A$3:$F$32,5,FALSE) - VLOOKUP($A23,test!$A$3:$G$32,6,FALSE) &gt;= (test!$B$33)/1440),1,0)</f>
        <v>0</v>
      </c>
      <c r="AF23" s="3">
        <f>IF(AND(VLOOKUP(AF$1,test!$A$3:$F$32,5,FALSE) - VLOOKUP($A23,test!$A$3:$G$32,6,FALSE) &gt;= (test!$B$33)/1440),1,0)</f>
        <v>0</v>
      </c>
    </row>
    <row r="24" spans="1:32" x14ac:dyDescent="0.25">
      <c r="A24" t="s">
        <v>33</v>
      </c>
      <c r="B24">
        <v>0</v>
      </c>
      <c r="C24" s="3">
        <f>IF(AND(VLOOKUP(C$1,test!$A$3:$F$32,5,FALSE) - VLOOKUP($A24,test!$A$3:$G$32,6,FALSE) &gt;= (test!$B$33)/1440),1,0)</f>
        <v>0</v>
      </c>
      <c r="D24" s="3">
        <f>IF(AND(VLOOKUP(D$1,test!$A$3:$F$32,5,FALSE) - VLOOKUP($A24,test!$A$3:$G$32,6,FALSE) &gt;= (test!$B$33)/1440),1,0)</f>
        <v>0</v>
      </c>
      <c r="E24" s="3">
        <f>IF(AND(VLOOKUP(E$1,test!$A$3:$F$32,5,FALSE) - VLOOKUP($A24,test!$A$3:$G$32,6,FALSE) &gt;= (test!$B$33)/1440),1,0)</f>
        <v>0</v>
      </c>
      <c r="F24" s="3">
        <f>IF(AND(VLOOKUP(F$1,test!$A$3:$F$32,5,FALSE) - VLOOKUP($A24,test!$A$3:$G$32,6,FALSE) &gt;= (test!$B$33)/1440),1,0)</f>
        <v>0</v>
      </c>
      <c r="G24" s="3">
        <f>IF(AND(VLOOKUP(G$1,test!$A$3:$F$32,5,FALSE) - VLOOKUP($A24,test!$A$3:$G$32,6,FALSE) &gt;= (test!$B$33)/1440),1,0)</f>
        <v>0</v>
      </c>
      <c r="H24" s="3">
        <f>IF(AND(VLOOKUP(H$1,test!$A$3:$F$32,5,FALSE) - VLOOKUP($A24,test!$A$3:$G$32,6,FALSE) &gt;= (test!$B$33)/1440),1,0)</f>
        <v>0</v>
      </c>
      <c r="I24" s="3">
        <f>IF(AND(VLOOKUP(I$1,test!$A$3:$F$32,5,FALSE) - VLOOKUP($A24,test!$A$3:$G$32,6,FALSE) &gt;= (test!$B$33)/1440),1,0)</f>
        <v>0</v>
      </c>
      <c r="J24" s="3">
        <f>IF(AND(VLOOKUP(J$1,test!$A$3:$F$32,5,FALSE) - VLOOKUP($A24,test!$A$3:$G$32,6,FALSE) &gt;= (test!$B$33)/1440),1,0)</f>
        <v>0</v>
      </c>
      <c r="K24" s="3">
        <f>IF(AND(VLOOKUP(K$1,test!$A$3:$F$32,5,FALSE) - VLOOKUP($A24,test!$A$3:$G$32,6,FALSE) &gt;= (test!$B$33)/1440),1,0)</f>
        <v>0</v>
      </c>
      <c r="L24" s="3">
        <f>IF(AND(VLOOKUP(L$1,test!$A$3:$F$32,5,FALSE) - VLOOKUP($A24,test!$A$3:$G$32,6,FALSE) &gt;= (test!$B$33)/1440),1,0)</f>
        <v>0</v>
      </c>
      <c r="M24" s="3">
        <f>IF(AND(VLOOKUP(M$1,test!$A$3:$F$32,5,FALSE) - VLOOKUP($A24,test!$A$3:$G$32,6,FALSE) &gt;= (test!$B$33)/1440),1,0)</f>
        <v>0</v>
      </c>
      <c r="N24" s="3">
        <f>IF(AND(VLOOKUP(N$1,test!$A$3:$F$32,5,FALSE) - VLOOKUP($A24,test!$A$3:$G$32,6,FALSE) &gt;= (test!$B$33)/1440),1,0)</f>
        <v>0</v>
      </c>
      <c r="O24" s="3">
        <f>IF(AND(VLOOKUP(O$1,test!$A$3:$F$32,5,FALSE) - VLOOKUP($A24,test!$A$3:$G$32,6,FALSE) &gt;= (test!$B$33)/1440),1,0)</f>
        <v>0</v>
      </c>
      <c r="P24" s="3">
        <f>IF(AND(VLOOKUP(P$1,test!$A$3:$F$32,5,FALSE) - VLOOKUP($A24,test!$A$3:$G$32,6,FALSE) &gt;= (test!$B$33)/1440),1,0)</f>
        <v>0</v>
      </c>
      <c r="Q24" s="3">
        <f>IF(AND(VLOOKUP(Q$1,test!$A$3:$F$32,5,FALSE) - VLOOKUP($A24,test!$A$3:$G$32,6,FALSE) &gt;= (test!$B$33)/1440),1,0)</f>
        <v>0</v>
      </c>
      <c r="R24" s="3">
        <f>IF(AND(VLOOKUP(R$1,test!$A$3:$F$32,5,FALSE) - VLOOKUP($A24,test!$A$3:$G$32,6,FALSE) &gt;= (test!$B$33)/1440),1,0)</f>
        <v>0</v>
      </c>
      <c r="S24" s="3">
        <f>IF(AND(VLOOKUP(S$1,test!$A$3:$F$32,5,FALSE) - VLOOKUP($A24,test!$A$3:$G$32,6,FALSE) &gt;= (test!$B$33)/1440),1,0)</f>
        <v>0</v>
      </c>
      <c r="T24" s="3">
        <f>IF(AND(VLOOKUP(T$1,test!$A$3:$F$32,5,FALSE) - VLOOKUP($A24,test!$A$3:$G$32,6,FALSE) &gt;= (test!$B$33)/1440),1,0)</f>
        <v>0</v>
      </c>
      <c r="U24" s="3">
        <f>IF(AND(VLOOKUP(U$1,test!$A$3:$F$32,5,FALSE) - VLOOKUP($A24,test!$A$3:$G$32,6,FALSE) &gt;= (test!$B$33)/1440),1,0)</f>
        <v>0</v>
      </c>
      <c r="V24" s="3">
        <f>IF(AND(VLOOKUP(V$1,test!$A$3:$F$32,5,FALSE) - VLOOKUP($A24,test!$A$3:$G$32,6,FALSE) &gt;= (test!$B$33)/1440),1,0)</f>
        <v>0</v>
      </c>
      <c r="W24" s="3">
        <f>IF(AND(VLOOKUP(W$1,test!$A$3:$F$32,5,FALSE) - VLOOKUP($A24,test!$A$3:$G$32,6,FALSE) &gt;= (test!$B$33)/1440),1,0)</f>
        <v>0</v>
      </c>
      <c r="X24" s="3">
        <f>IF(AND(VLOOKUP(X$1,test!$A$3:$F$32,5,FALSE) - VLOOKUP($A24,test!$A$3:$G$32,6,FALSE) &gt;= (test!$B$33)/1440),1,0)</f>
        <v>0</v>
      </c>
      <c r="Y24" s="3">
        <f>IF(AND(VLOOKUP(Y$1,test!$A$3:$F$32,5,FALSE) - VLOOKUP($A24,test!$A$3:$G$32,6,FALSE) &gt;= (test!$B$33)/1440),1,0)</f>
        <v>0</v>
      </c>
      <c r="Z24" s="3">
        <f>IF(AND(VLOOKUP(Z$1,test!$A$3:$F$32,5,FALSE) - VLOOKUP($A24,test!$A$3:$G$32,6,FALSE) &gt;= (test!$B$33)/1440),1,0)</f>
        <v>0</v>
      </c>
      <c r="AA24" s="3">
        <f>IF(AND(VLOOKUP(AA$1,test!$A$3:$F$32,5,FALSE) - VLOOKUP($A24,test!$A$3:$G$32,6,FALSE) &gt;= (test!$B$33)/1440),1,0)</f>
        <v>0</v>
      </c>
      <c r="AB24" s="3">
        <f>IF(AND(VLOOKUP(AB$1,test!$A$3:$F$32,5,FALSE) - VLOOKUP($A24,test!$A$3:$G$32,6,FALSE) &gt;= (test!$B$33)/1440),1,0)</f>
        <v>0</v>
      </c>
      <c r="AC24" s="3">
        <f>IF(AND(VLOOKUP(AC$1,test!$A$3:$F$32,5,FALSE) - VLOOKUP($A24,test!$A$3:$G$32,6,FALSE) &gt;= (test!$B$33)/1440),1,0)</f>
        <v>0</v>
      </c>
      <c r="AD24" s="3">
        <f>IF(AND(VLOOKUP(AD$1,test!$A$3:$F$32,5,FALSE) - VLOOKUP($A24,test!$A$3:$G$32,6,FALSE) &gt;= (test!$B$33)/1440),1,0)</f>
        <v>0</v>
      </c>
      <c r="AE24" s="3">
        <f>IF(AND(VLOOKUP(AE$1,test!$A$3:$F$32,5,FALSE) - VLOOKUP($A24,test!$A$3:$G$32,6,FALSE) &gt;= (test!$B$33)/1440),1,0)</f>
        <v>0</v>
      </c>
      <c r="AF24" s="3">
        <f>IF(AND(VLOOKUP(AF$1,test!$A$3:$F$32,5,FALSE) - VLOOKUP($A24,test!$A$3:$G$32,6,FALSE) &gt;= (test!$B$33)/1440),1,0)</f>
        <v>0</v>
      </c>
    </row>
    <row r="25" spans="1:32" x14ac:dyDescent="0.25">
      <c r="A25" t="s">
        <v>34</v>
      </c>
      <c r="B25">
        <v>0</v>
      </c>
      <c r="C25" s="3">
        <f>IF(AND(VLOOKUP(C$1,test!$A$3:$F$32,5,FALSE) - VLOOKUP($A25,test!$A$3:$G$32,6,FALSE) &gt;= (test!$B$33)/1440),1,0)</f>
        <v>0</v>
      </c>
      <c r="D25" s="3">
        <f>IF(AND(VLOOKUP(D$1,test!$A$3:$F$32,5,FALSE) - VLOOKUP($A25,test!$A$3:$G$32,6,FALSE) &gt;= (test!$B$33)/1440),1,0)</f>
        <v>0</v>
      </c>
      <c r="E25" s="3">
        <f>IF(AND(VLOOKUP(E$1,test!$A$3:$F$32,5,FALSE) - VLOOKUP($A25,test!$A$3:$G$32,6,FALSE) &gt;= (test!$B$33)/1440),1,0)</f>
        <v>1</v>
      </c>
      <c r="F25" s="3">
        <f>IF(AND(VLOOKUP(F$1,test!$A$3:$F$32,5,FALSE) - VLOOKUP($A25,test!$A$3:$G$32,6,FALSE) &gt;= (test!$B$33)/1440),1,0)</f>
        <v>1</v>
      </c>
      <c r="G25" s="3">
        <f>IF(AND(VLOOKUP(G$1,test!$A$3:$F$32,5,FALSE) - VLOOKUP($A25,test!$A$3:$G$32,6,FALSE) &gt;= (test!$B$33)/1440),1,0)</f>
        <v>1</v>
      </c>
      <c r="H25" s="3">
        <f>IF(AND(VLOOKUP(H$1,test!$A$3:$F$32,5,FALSE) - VLOOKUP($A25,test!$A$3:$G$32,6,FALSE) &gt;= (test!$B$33)/1440),1,0)</f>
        <v>1</v>
      </c>
      <c r="I25" s="3">
        <f>IF(AND(VLOOKUP(I$1,test!$A$3:$F$32,5,FALSE) - VLOOKUP($A25,test!$A$3:$G$32,6,FALSE) &gt;= (test!$B$33)/1440),1,0)</f>
        <v>1</v>
      </c>
      <c r="J25" s="3">
        <f>IF(AND(VLOOKUP(J$1,test!$A$3:$F$32,5,FALSE) - VLOOKUP($A25,test!$A$3:$G$32,6,FALSE) &gt;= (test!$B$33)/1440),1,0)</f>
        <v>1</v>
      </c>
      <c r="K25" s="3">
        <f>IF(AND(VLOOKUP(K$1,test!$A$3:$F$32,5,FALSE) - VLOOKUP($A25,test!$A$3:$G$32,6,FALSE) &gt;= (test!$B$33)/1440),1,0)</f>
        <v>0</v>
      </c>
      <c r="L25" s="3">
        <f>IF(AND(VLOOKUP(L$1,test!$A$3:$F$32,5,FALSE) - VLOOKUP($A25,test!$A$3:$G$32,6,FALSE) &gt;= (test!$B$33)/1440),1,0)</f>
        <v>0</v>
      </c>
      <c r="M25" s="3">
        <f>IF(AND(VLOOKUP(M$1,test!$A$3:$F$32,5,FALSE) - VLOOKUP($A25,test!$A$3:$G$32,6,FALSE) &gt;= (test!$B$33)/1440),1,0)</f>
        <v>1</v>
      </c>
      <c r="N25" s="3">
        <f>IF(AND(VLOOKUP(N$1,test!$A$3:$F$32,5,FALSE) - VLOOKUP($A25,test!$A$3:$G$32,6,FALSE) &gt;= (test!$B$33)/1440),1,0)</f>
        <v>1</v>
      </c>
      <c r="O25" s="3">
        <f>IF(AND(VLOOKUP(O$1,test!$A$3:$F$32,5,FALSE) - VLOOKUP($A25,test!$A$3:$G$32,6,FALSE) &gt;= (test!$B$33)/1440),1,0)</f>
        <v>1</v>
      </c>
      <c r="P25" s="3">
        <f>IF(AND(VLOOKUP(P$1,test!$A$3:$F$32,5,FALSE) - VLOOKUP($A25,test!$A$3:$G$32,6,FALSE) &gt;= (test!$B$33)/1440),1,0)</f>
        <v>0</v>
      </c>
      <c r="Q25" s="3">
        <f>IF(AND(VLOOKUP(Q$1,test!$A$3:$F$32,5,FALSE) - VLOOKUP($A25,test!$A$3:$G$32,6,FALSE) &gt;= (test!$B$33)/1440),1,0)</f>
        <v>0</v>
      </c>
      <c r="R25" s="3">
        <f>IF(AND(VLOOKUP(R$1,test!$A$3:$F$32,5,FALSE) - VLOOKUP($A25,test!$A$3:$G$32,6,FALSE) &gt;= (test!$B$33)/1440),1,0)</f>
        <v>0</v>
      </c>
      <c r="S25" s="3">
        <f>IF(AND(VLOOKUP(S$1,test!$A$3:$F$32,5,FALSE) - VLOOKUP($A25,test!$A$3:$G$32,6,FALSE) &gt;= (test!$B$33)/1440),1,0)</f>
        <v>0</v>
      </c>
      <c r="T25" s="3">
        <f>IF(AND(VLOOKUP(T$1,test!$A$3:$F$32,5,FALSE) - VLOOKUP($A25,test!$A$3:$G$32,6,FALSE) &gt;= (test!$B$33)/1440),1,0)</f>
        <v>1</v>
      </c>
      <c r="U25" s="3">
        <f>IF(AND(VLOOKUP(U$1,test!$A$3:$F$32,5,FALSE) - VLOOKUP($A25,test!$A$3:$G$32,6,FALSE) &gt;= (test!$B$33)/1440),1,0)</f>
        <v>1</v>
      </c>
      <c r="V25" s="3">
        <f>IF(AND(VLOOKUP(V$1,test!$A$3:$F$32,5,FALSE) - VLOOKUP($A25,test!$A$3:$G$32,6,FALSE) &gt;= (test!$B$33)/1440),1,0)</f>
        <v>1</v>
      </c>
      <c r="W25" s="3">
        <f>IF(AND(VLOOKUP(W$1,test!$A$3:$F$32,5,FALSE) - VLOOKUP($A25,test!$A$3:$G$32,6,FALSE) &gt;= (test!$B$33)/1440),1,0)</f>
        <v>1</v>
      </c>
      <c r="X25" s="3">
        <f>IF(AND(VLOOKUP(X$1,test!$A$3:$F$32,5,FALSE) - VLOOKUP($A25,test!$A$3:$G$32,6,FALSE) &gt;= (test!$B$33)/1440),1,0)</f>
        <v>1</v>
      </c>
      <c r="Y25" s="3">
        <f>IF(AND(VLOOKUP(Y$1,test!$A$3:$F$32,5,FALSE) - VLOOKUP($A25,test!$A$3:$G$32,6,FALSE) &gt;= (test!$B$33)/1440),1,0)</f>
        <v>0</v>
      </c>
      <c r="Z25" s="3">
        <f>IF(AND(VLOOKUP(Z$1,test!$A$3:$F$32,5,FALSE) - VLOOKUP($A25,test!$A$3:$G$32,6,FALSE) &gt;= (test!$B$33)/1440),1,0)</f>
        <v>0</v>
      </c>
      <c r="AA25" s="3">
        <f>IF(AND(VLOOKUP(AA$1,test!$A$3:$F$32,5,FALSE) - VLOOKUP($A25,test!$A$3:$G$32,6,FALSE) &gt;= (test!$B$33)/1440),1,0)</f>
        <v>1</v>
      </c>
      <c r="AB25" s="3">
        <f>IF(AND(VLOOKUP(AB$1,test!$A$3:$F$32,5,FALSE) - VLOOKUP($A25,test!$A$3:$G$32,6,FALSE) &gt;= (test!$B$33)/1440),1,0)</f>
        <v>1</v>
      </c>
      <c r="AC25" s="3">
        <f>IF(AND(VLOOKUP(AC$1,test!$A$3:$F$32,5,FALSE) - VLOOKUP($A25,test!$A$3:$G$32,6,FALSE) &gt;= (test!$B$33)/1440),1,0)</f>
        <v>1</v>
      </c>
      <c r="AD25" s="3">
        <f>IF(AND(VLOOKUP(AD$1,test!$A$3:$F$32,5,FALSE) - VLOOKUP($A25,test!$A$3:$G$32,6,FALSE) &gt;= (test!$B$33)/1440),1,0)</f>
        <v>0</v>
      </c>
      <c r="AE25" s="3">
        <f>IF(AND(VLOOKUP(AE$1,test!$A$3:$F$32,5,FALSE) - VLOOKUP($A25,test!$A$3:$G$32,6,FALSE) &gt;= (test!$B$33)/1440),1,0)</f>
        <v>1</v>
      </c>
      <c r="AF25" s="3">
        <f>IF(AND(VLOOKUP(AF$1,test!$A$3:$F$32,5,FALSE) - VLOOKUP($A25,test!$A$3:$G$32,6,FALSE) &gt;= (test!$B$33)/1440),1,0)</f>
        <v>1</v>
      </c>
    </row>
    <row r="26" spans="1:32" x14ac:dyDescent="0.25">
      <c r="A26" t="s">
        <v>35</v>
      </c>
      <c r="B26">
        <v>0</v>
      </c>
      <c r="C26" s="3">
        <f>IF(AND(VLOOKUP(C$1,test!$A$3:$F$32,5,FALSE) - VLOOKUP($A26,test!$A$3:$G$32,6,FALSE) &gt;= (test!$B$33)/1440),1,0)</f>
        <v>0</v>
      </c>
      <c r="D26" s="3">
        <f>IF(AND(VLOOKUP(D$1,test!$A$3:$F$32,5,FALSE) - VLOOKUP($A26,test!$A$3:$G$32,6,FALSE) &gt;= (test!$B$33)/1440),1,0)</f>
        <v>0</v>
      </c>
      <c r="E26" s="3">
        <f>IF(AND(VLOOKUP(E$1,test!$A$3:$F$32,5,FALSE) - VLOOKUP($A26,test!$A$3:$G$32,6,FALSE) &gt;= (test!$B$33)/1440),1,0)</f>
        <v>0</v>
      </c>
      <c r="F26" s="3">
        <f>IF(AND(VLOOKUP(F$1,test!$A$3:$F$32,5,FALSE) - VLOOKUP($A26,test!$A$3:$G$32,6,FALSE) &gt;= (test!$B$33)/1440),1,0)</f>
        <v>0</v>
      </c>
      <c r="G26" s="3">
        <f>IF(AND(VLOOKUP(G$1,test!$A$3:$F$32,5,FALSE) - VLOOKUP($A26,test!$A$3:$G$32,6,FALSE) &gt;= (test!$B$33)/1440),1,0)</f>
        <v>1</v>
      </c>
      <c r="H26" s="3">
        <f>IF(AND(VLOOKUP(H$1,test!$A$3:$F$32,5,FALSE) - VLOOKUP($A26,test!$A$3:$G$32,6,FALSE) &gt;= (test!$B$33)/1440),1,0)</f>
        <v>1</v>
      </c>
      <c r="I26" s="3">
        <f>IF(AND(VLOOKUP(I$1,test!$A$3:$F$32,5,FALSE) - VLOOKUP($A26,test!$A$3:$G$32,6,FALSE) &gt;= (test!$B$33)/1440),1,0)</f>
        <v>1</v>
      </c>
      <c r="J26" s="3">
        <f>IF(AND(VLOOKUP(J$1,test!$A$3:$F$32,5,FALSE) - VLOOKUP($A26,test!$A$3:$G$32,6,FALSE) &gt;= (test!$B$33)/1440),1,0)</f>
        <v>1</v>
      </c>
      <c r="K26" s="3">
        <f>IF(AND(VLOOKUP(K$1,test!$A$3:$F$32,5,FALSE) - VLOOKUP($A26,test!$A$3:$G$32,6,FALSE) &gt;= (test!$B$33)/1440),1,0)</f>
        <v>0</v>
      </c>
      <c r="L26" s="3">
        <f>IF(AND(VLOOKUP(L$1,test!$A$3:$F$32,5,FALSE) - VLOOKUP($A26,test!$A$3:$G$32,6,FALSE) &gt;= (test!$B$33)/1440),1,0)</f>
        <v>0</v>
      </c>
      <c r="M26" s="3">
        <f>IF(AND(VLOOKUP(M$1,test!$A$3:$F$32,5,FALSE) - VLOOKUP($A26,test!$A$3:$G$32,6,FALSE) &gt;= (test!$B$33)/1440),1,0)</f>
        <v>0</v>
      </c>
      <c r="N26" s="3">
        <f>IF(AND(VLOOKUP(N$1,test!$A$3:$F$32,5,FALSE) - VLOOKUP($A26,test!$A$3:$G$32,6,FALSE) &gt;= (test!$B$33)/1440),1,0)</f>
        <v>1</v>
      </c>
      <c r="O26" s="3">
        <f>IF(AND(VLOOKUP(O$1,test!$A$3:$F$32,5,FALSE) - VLOOKUP($A26,test!$A$3:$G$32,6,FALSE) &gt;= (test!$B$33)/1440),1,0)</f>
        <v>1</v>
      </c>
      <c r="P26" s="3">
        <f>IF(AND(VLOOKUP(P$1,test!$A$3:$F$32,5,FALSE) - VLOOKUP($A26,test!$A$3:$G$32,6,FALSE) &gt;= (test!$B$33)/1440),1,0)</f>
        <v>0</v>
      </c>
      <c r="Q26" s="3">
        <f>IF(AND(VLOOKUP(Q$1,test!$A$3:$F$32,5,FALSE) - VLOOKUP($A26,test!$A$3:$G$32,6,FALSE) &gt;= (test!$B$33)/1440),1,0)</f>
        <v>0</v>
      </c>
      <c r="R26" s="3">
        <f>IF(AND(VLOOKUP(R$1,test!$A$3:$F$32,5,FALSE) - VLOOKUP($A26,test!$A$3:$G$32,6,FALSE) &gt;= (test!$B$33)/1440),1,0)</f>
        <v>0</v>
      </c>
      <c r="S26" s="3">
        <f>IF(AND(VLOOKUP(S$1,test!$A$3:$F$32,5,FALSE) - VLOOKUP($A26,test!$A$3:$G$32,6,FALSE) &gt;= (test!$B$33)/1440),1,0)</f>
        <v>0</v>
      </c>
      <c r="T26" s="3">
        <f>IF(AND(VLOOKUP(T$1,test!$A$3:$F$32,5,FALSE) - VLOOKUP($A26,test!$A$3:$G$32,6,FALSE) &gt;= (test!$B$33)/1440),1,0)</f>
        <v>0</v>
      </c>
      <c r="U26" s="3">
        <f>IF(AND(VLOOKUP(U$1,test!$A$3:$F$32,5,FALSE) - VLOOKUP($A26,test!$A$3:$G$32,6,FALSE) &gt;= (test!$B$33)/1440),1,0)</f>
        <v>0</v>
      </c>
      <c r="V26" s="3">
        <f>IF(AND(VLOOKUP(V$1,test!$A$3:$F$32,5,FALSE) - VLOOKUP($A26,test!$A$3:$G$32,6,FALSE) &gt;= (test!$B$33)/1440),1,0)</f>
        <v>1</v>
      </c>
      <c r="W26" s="3">
        <f>IF(AND(VLOOKUP(W$1,test!$A$3:$F$32,5,FALSE) - VLOOKUP($A26,test!$A$3:$G$32,6,FALSE) &gt;= (test!$B$33)/1440),1,0)</f>
        <v>1</v>
      </c>
      <c r="X26" s="3">
        <f>IF(AND(VLOOKUP(X$1,test!$A$3:$F$32,5,FALSE) - VLOOKUP($A26,test!$A$3:$G$32,6,FALSE) &gt;= (test!$B$33)/1440),1,0)</f>
        <v>1</v>
      </c>
      <c r="Y26" s="3">
        <f>IF(AND(VLOOKUP(Y$1,test!$A$3:$F$32,5,FALSE) - VLOOKUP($A26,test!$A$3:$G$32,6,FALSE) &gt;= (test!$B$33)/1440),1,0)</f>
        <v>0</v>
      </c>
      <c r="Z26" s="3">
        <f>IF(AND(VLOOKUP(Z$1,test!$A$3:$F$32,5,FALSE) - VLOOKUP($A26,test!$A$3:$G$32,6,FALSE) &gt;= (test!$B$33)/1440),1,0)</f>
        <v>0</v>
      </c>
      <c r="AA26" s="3">
        <f>IF(AND(VLOOKUP(AA$1,test!$A$3:$F$32,5,FALSE) - VLOOKUP($A26,test!$A$3:$G$32,6,FALSE) &gt;= (test!$B$33)/1440),1,0)</f>
        <v>0</v>
      </c>
      <c r="AB26" s="3">
        <f>IF(AND(VLOOKUP(AB$1,test!$A$3:$F$32,5,FALSE) - VLOOKUP($A26,test!$A$3:$G$32,6,FALSE) &gt;= (test!$B$33)/1440),1,0)</f>
        <v>0</v>
      </c>
      <c r="AC26" s="3">
        <f>IF(AND(VLOOKUP(AC$1,test!$A$3:$F$32,5,FALSE) - VLOOKUP($A26,test!$A$3:$G$32,6,FALSE) &gt;= (test!$B$33)/1440),1,0)</f>
        <v>1</v>
      </c>
      <c r="AD26" s="3">
        <f>IF(AND(VLOOKUP(AD$1,test!$A$3:$F$32,5,FALSE) - VLOOKUP($A26,test!$A$3:$G$32,6,FALSE) &gt;= (test!$B$33)/1440),1,0)</f>
        <v>0</v>
      </c>
      <c r="AE26" s="3">
        <f>IF(AND(VLOOKUP(AE$1,test!$A$3:$F$32,5,FALSE) - VLOOKUP($A26,test!$A$3:$G$32,6,FALSE) &gt;= (test!$B$33)/1440),1,0)</f>
        <v>0</v>
      </c>
      <c r="AF26" s="3">
        <f>IF(AND(VLOOKUP(AF$1,test!$A$3:$F$32,5,FALSE) - VLOOKUP($A26,test!$A$3:$G$32,6,FALSE) &gt;= (test!$B$33)/1440),1,0)</f>
        <v>0</v>
      </c>
    </row>
    <row r="27" spans="1:32" x14ac:dyDescent="0.25">
      <c r="A27" t="s">
        <v>36</v>
      </c>
      <c r="B27">
        <v>0</v>
      </c>
      <c r="C27" s="3">
        <f>IF(AND(VLOOKUP(C$1,test!$A$3:$F$32,5,FALSE) - VLOOKUP($A27,test!$A$3:$G$32,6,FALSE) &gt;= (test!$B$33)/1440),1,0)</f>
        <v>0</v>
      </c>
      <c r="D27" s="3">
        <f>IF(AND(VLOOKUP(D$1,test!$A$3:$F$32,5,FALSE) - VLOOKUP($A27,test!$A$3:$G$32,6,FALSE) &gt;= (test!$B$33)/1440),1,0)</f>
        <v>0</v>
      </c>
      <c r="E27" s="3">
        <f>IF(AND(VLOOKUP(E$1,test!$A$3:$F$32,5,FALSE) - VLOOKUP($A27,test!$A$3:$G$32,6,FALSE) &gt;= (test!$B$33)/1440),1,0)</f>
        <v>0</v>
      </c>
      <c r="F27" s="3">
        <f>IF(AND(VLOOKUP(F$1,test!$A$3:$F$32,5,FALSE) - VLOOKUP($A27,test!$A$3:$G$32,6,FALSE) &gt;= (test!$B$33)/1440),1,0)</f>
        <v>0</v>
      </c>
      <c r="G27" s="3">
        <f>IF(AND(VLOOKUP(G$1,test!$A$3:$F$32,5,FALSE) - VLOOKUP($A27,test!$A$3:$G$32,6,FALSE) &gt;= (test!$B$33)/1440),1,0)</f>
        <v>0</v>
      </c>
      <c r="H27" s="3">
        <f>IF(AND(VLOOKUP(H$1,test!$A$3:$F$32,5,FALSE) - VLOOKUP($A27,test!$A$3:$G$32,6,FALSE) &gt;= (test!$B$33)/1440),1,0)</f>
        <v>0</v>
      </c>
      <c r="I27" s="3">
        <f>IF(AND(VLOOKUP(I$1,test!$A$3:$F$32,5,FALSE) - VLOOKUP($A27,test!$A$3:$G$32,6,FALSE) &gt;= (test!$B$33)/1440),1,0)</f>
        <v>1</v>
      </c>
      <c r="J27" s="3">
        <f>IF(AND(VLOOKUP(J$1,test!$A$3:$F$32,5,FALSE) - VLOOKUP($A27,test!$A$3:$G$32,6,FALSE) &gt;= (test!$B$33)/1440),1,0)</f>
        <v>1</v>
      </c>
      <c r="K27" s="3">
        <f>IF(AND(VLOOKUP(K$1,test!$A$3:$F$32,5,FALSE) - VLOOKUP($A27,test!$A$3:$G$32,6,FALSE) &gt;= (test!$B$33)/1440),1,0)</f>
        <v>0</v>
      </c>
      <c r="L27" s="3">
        <f>IF(AND(VLOOKUP(L$1,test!$A$3:$F$32,5,FALSE) - VLOOKUP($A27,test!$A$3:$G$32,6,FALSE) &gt;= (test!$B$33)/1440),1,0)</f>
        <v>0</v>
      </c>
      <c r="M27" s="3">
        <f>IF(AND(VLOOKUP(M$1,test!$A$3:$F$32,5,FALSE) - VLOOKUP($A27,test!$A$3:$G$32,6,FALSE) &gt;= (test!$B$33)/1440),1,0)</f>
        <v>0</v>
      </c>
      <c r="N27" s="3">
        <f>IF(AND(VLOOKUP(N$1,test!$A$3:$F$32,5,FALSE) - VLOOKUP($A27,test!$A$3:$G$32,6,FALSE) &gt;= (test!$B$33)/1440),1,0)</f>
        <v>1</v>
      </c>
      <c r="O27" s="3">
        <f>IF(AND(VLOOKUP(O$1,test!$A$3:$F$32,5,FALSE) - VLOOKUP($A27,test!$A$3:$G$32,6,FALSE) &gt;= (test!$B$33)/1440),1,0)</f>
        <v>1</v>
      </c>
      <c r="P27" s="3">
        <f>IF(AND(VLOOKUP(P$1,test!$A$3:$F$32,5,FALSE) - VLOOKUP($A27,test!$A$3:$G$32,6,FALSE) &gt;= (test!$B$33)/1440),1,0)</f>
        <v>0</v>
      </c>
      <c r="Q27" s="3">
        <f>IF(AND(VLOOKUP(Q$1,test!$A$3:$F$32,5,FALSE) - VLOOKUP($A27,test!$A$3:$G$32,6,FALSE) &gt;= (test!$B$33)/1440),1,0)</f>
        <v>0</v>
      </c>
      <c r="R27" s="3">
        <f>IF(AND(VLOOKUP(R$1,test!$A$3:$F$32,5,FALSE) - VLOOKUP($A27,test!$A$3:$G$32,6,FALSE) &gt;= (test!$B$33)/1440),1,0)</f>
        <v>0</v>
      </c>
      <c r="S27" s="3">
        <f>IF(AND(VLOOKUP(S$1,test!$A$3:$F$32,5,FALSE) - VLOOKUP($A27,test!$A$3:$G$32,6,FALSE) &gt;= (test!$B$33)/1440),1,0)</f>
        <v>0</v>
      </c>
      <c r="T27" s="3">
        <f>IF(AND(VLOOKUP(T$1,test!$A$3:$F$32,5,FALSE) - VLOOKUP($A27,test!$A$3:$G$32,6,FALSE) &gt;= (test!$B$33)/1440),1,0)</f>
        <v>0</v>
      </c>
      <c r="U27" s="3">
        <f>IF(AND(VLOOKUP(U$1,test!$A$3:$F$32,5,FALSE) - VLOOKUP($A27,test!$A$3:$G$32,6,FALSE) &gt;= (test!$B$33)/1440),1,0)</f>
        <v>0</v>
      </c>
      <c r="V27" s="3">
        <f>IF(AND(VLOOKUP(V$1,test!$A$3:$F$32,5,FALSE) - VLOOKUP($A27,test!$A$3:$G$32,6,FALSE) &gt;= (test!$B$33)/1440),1,0)</f>
        <v>0</v>
      </c>
      <c r="W27" s="3">
        <f>IF(AND(VLOOKUP(W$1,test!$A$3:$F$32,5,FALSE) - VLOOKUP($A27,test!$A$3:$G$32,6,FALSE) &gt;= (test!$B$33)/1440),1,0)</f>
        <v>1</v>
      </c>
      <c r="X27" s="3">
        <f>IF(AND(VLOOKUP(X$1,test!$A$3:$F$32,5,FALSE) - VLOOKUP($A27,test!$A$3:$G$32,6,FALSE) &gt;= (test!$B$33)/1440),1,0)</f>
        <v>1</v>
      </c>
      <c r="Y27" s="3">
        <f>IF(AND(VLOOKUP(Y$1,test!$A$3:$F$32,5,FALSE) - VLOOKUP($A27,test!$A$3:$G$32,6,FALSE) &gt;= (test!$B$33)/1440),1,0)</f>
        <v>0</v>
      </c>
      <c r="Z27" s="3">
        <f>IF(AND(VLOOKUP(Z$1,test!$A$3:$F$32,5,FALSE) - VLOOKUP($A27,test!$A$3:$G$32,6,FALSE) &gt;= (test!$B$33)/1440),1,0)</f>
        <v>0</v>
      </c>
      <c r="AA27" s="3">
        <f>IF(AND(VLOOKUP(AA$1,test!$A$3:$F$32,5,FALSE) - VLOOKUP($A27,test!$A$3:$G$32,6,FALSE) &gt;= (test!$B$33)/1440),1,0)</f>
        <v>0</v>
      </c>
      <c r="AB27" s="3">
        <f>IF(AND(VLOOKUP(AB$1,test!$A$3:$F$32,5,FALSE) - VLOOKUP($A27,test!$A$3:$G$32,6,FALSE) &gt;= (test!$B$33)/1440),1,0)</f>
        <v>0</v>
      </c>
      <c r="AC27" s="3">
        <f>IF(AND(VLOOKUP(AC$1,test!$A$3:$F$32,5,FALSE) - VLOOKUP($A27,test!$A$3:$G$32,6,FALSE) &gt;= (test!$B$33)/1440),1,0)</f>
        <v>0</v>
      </c>
      <c r="AD27" s="3">
        <f>IF(AND(VLOOKUP(AD$1,test!$A$3:$F$32,5,FALSE) - VLOOKUP($A27,test!$A$3:$G$32,6,FALSE) &gt;= (test!$B$33)/1440),1,0)</f>
        <v>0</v>
      </c>
      <c r="AE27" s="3">
        <f>IF(AND(VLOOKUP(AE$1,test!$A$3:$F$32,5,FALSE) - VLOOKUP($A27,test!$A$3:$G$32,6,FALSE) &gt;= (test!$B$33)/1440),1,0)</f>
        <v>0</v>
      </c>
      <c r="AF27" s="3">
        <f>IF(AND(VLOOKUP(AF$1,test!$A$3:$F$32,5,FALSE) - VLOOKUP($A27,test!$A$3:$G$32,6,FALSE) &gt;= (test!$B$33)/1440),1,0)</f>
        <v>0</v>
      </c>
    </row>
    <row r="28" spans="1:32" x14ac:dyDescent="0.25">
      <c r="A28" t="s">
        <v>37</v>
      </c>
      <c r="B28">
        <v>0</v>
      </c>
      <c r="C28" s="3">
        <f>IF(AND(VLOOKUP(C$1,test!$A$3:$F$32,5,FALSE) - VLOOKUP($A28,test!$A$3:$G$32,6,FALSE) &gt;= (test!$B$33)/1440),1,0)</f>
        <v>0</v>
      </c>
      <c r="D28" s="3">
        <f>IF(AND(VLOOKUP(D$1,test!$A$3:$F$32,5,FALSE) - VLOOKUP($A28,test!$A$3:$G$32,6,FALSE) &gt;= (test!$B$33)/1440),1,0)</f>
        <v>0</v>
      </c>
      <c r="E28" s="3">
        <f>IF(AND(VLOOKUP(E$1,test!$A$3:$F$32,5,FALSE) - VLOOKUP($A28,test!$A$3:$G$32,6,FALSE) &gt;= (test!$B$33)/1440),1,0)</f>
        <v>0</v>
      </c>
      <c r="F28" s="3">
        <f>IF(AND(VLOOKUP(F$1,test!$A$3:$F$32,5,FALSE) - VLOOKUP($A28,test!$A$3:$G$32,6,FALSE) &gt;= (test!$B$33)/1440),1,0)</f>
        <v>0</v>
      </c>
      <c r="G28" s="3">
        <f>IF(AND(VLOOKUP(G$1,test!$A$3:$F$32,5,FALSE) - VLOOKUP($A28,test!$A$3:$G$32,6,FALSE) &gt;= (test!$B$33)/1440),1,0)</f>
        <v>0</v>
      </c>
      <c r="H28" s="3">
        <f>IF(AND(VLOOKUP(H$1,test!$A$3:$F$32,5,FALSE) - VLOOKUP($A28,test!$A$3:$G$32,6,FALSE) &gt;= (test!$B$33)/1440),1,0)</f>
        <v>0</v>
      </c>
      <c r="I28" s="3">
        <f>IF(AND(VLOOKUP(I$1,test!$A$3:$F$32,5,FALSE) - VLOOKUP($A28,test!$A$3:$G$32,6,FALSE) &gt;= (test!$B$33)/1440),1,0)</f>
        <v>0</v>
      </c>
      <c r="J28" s="3">
        <f>IF(AND(VLOOKUP(J$1,test!$A$3:$F$32,5,FALSE) - VLOOKUP($A28,test!$A$3:$G$32,6,FALSE) &gt;= (test!$B$33)/1440),1,0)</f>
        <v>1</v>
      </c>
      <c r="K28" s="3">
        <f>IF(AND(VLOOKUP(K$1,test!$A$3:$F$32,5,FALSE) - VLOOKUP($A28,test!$A$3:$G$32,6,FALSE) &gt;= (test!$B$33)/1440),1,0)</f>
        <v>0</v>
      </c>
      <c r="L28" s="3">
        <f>IF(AND(VLOOKUP(L$1,test!$A$3:$F$32,5,FALSE) - VLOOKUP($A28,test!$A$3:$G$32,6,FALSE) &gt;= (test!$B$33)/1440),1,0)</f>
        <v>0</v>
      </c>
      <c r="M28" s="3">
        <f>IF(AND(VLOOKUP(M$1,test!$A$3:$F$32,5,FALSE) - VLOOKUP($A28,test!$A$3:$G$32,6,FALSE) &gt;= (test!$B$33)/1440),1,0)</f>
        <v>0</v>
      </c>
      <c r="N28" s="3">
        <f>IF(AND(VLOOKUP(N$1,test!$A$3:$F$32,5,FALSE) - VLOOKUP($A28,test!$A$3:$G$32,6,FALSE) &gt;= (test!$B$33)/1440),1,0)</f>
        <v>1</v>
      </c>
      <c r="O28" s="3">
        <f>IF(AND(VLOOKUP(O$1,test!$A$3:$F$32,5,FALSE) - VLOOKUP($A28,test!$A$3:$G$32,6,FALSE) &gt;= (test!$B$33)/1440),1,0)</f>
        <v>1</v>
      </c>
      <c r="P28" s="3">
        <f>IF(AND(VLOOKUP(P$1,test!$A$3:$F$32,5,FALSE) - VLOOKUP($A28,test!$A$3:$G$32,6,FALSE) &gt;= (test!$B$33)/1440),1,0)</f>
        <v>0</v>
      </c>
      <c r="Q28" s="3">
        <f>IF(AND(VLOOKUP(Q$1,test!$A$3:$F$32,5,FALSE) - VLOOKUP($A28,test!$A$3:$G$32,6,FALSE) &gt;= (test!$B$33)/1440),1,0)</f>
        <v>0</v>
      </c>
      <c r="R28" s="3">
        <f>IF(AND(VLOOKUP(R$1,test!$A$3:$F$32,5,FALSE) - VLOOKUP($A28,test!$A$3:$G$32,6,FALSE) &gt;= (test!$B$33)/1440),1,0)</f>
        <v>0</v>
      </c>
      <c r="S28" s="3">
        <f>IF(AND(VLOOKUP(S$1,test!$A$3:$F$32,5,FALSE) - VLOOKUP($A28,test!$A$3:$G$32,6,FALSE) &gt;= (test!$B$33)/1440),1,0)</f>
        <v>0</v>
      </c>
      <c r="T28" s="3">
        <f>IF(AND(VLOOKUP(T$1,test!$A$3:$F$32,5,FALSE) - VLOOKUP($A28,test!$A$3:$G$32,6,FALSE) &gt;= (test!$B$33)/1440),1,0)</f>
        <v>0</v>
      </c>
      <c r="U28" s="3">
        <f>IF(AND(VLOOKUP(U$1,test!$A$3:$F$32,5,FALSE) - VLOOKUP($A28,test!$A$3:$G$32,6,FALSE) &gt;= (test!$B$33)/1440),1,0)</f>
        <v>0</v>
      </c>
      <c r="V28" s="3">
        <f>IF(AND(VLOOKUP(V$1,test!$A$3:$F$32,5,FALSE) - VLOOKUP($A28,test!$A$3:$G$32,6,FALSE) &gt;= (test!$B$33)/1440),1,0)</f>
        <v>0</v>
      </c>
      <c r="W28" s="3">
        <f>IF(AND(VLOOKUP(W$1,test!$A$3:$F$32,5,FALSE) - VLOOKUP($A28,test!$A$3:$G$32,6,FALSE) &gt;= (test!$B$33)/1440),1,0)</f>
        <v>0</v>
      </c>
      <c r="X28" s="3">
        <f>IF(AND(VLOOKUP(X$1,test!$A$3:$F$32,5,FALSE) - VLOOKUP($A28,test!$A$3:$G$32,6,FALSE) &gt;= (test!$B$33)/1440),1,0)</f>
        <v>1</v>
      </c>
      <c r="Y28" s="3">
        <f>IF(AND(VLOOKUP(Y$1,test!$A$3:$F$32,5,FALSE) - VLOOKUP($A28,test!$A$3:$G$32,6,FALSE) &gt;= (test!$B$33)/1440),1,0)</f>
        <v>0</v>
      </c>
      <c r="Z28" s="3">
        <f>IF(AND(VLOOKUP(Z$1,test!$A$3:$F$32,5,FALSE) - VLOOKUP($A28,test!$A$3:$G$32,6,FALSE) &gt;= (test!$B$33)/1440),1,0)</f>
        <v>0</v>
      </c>
      <c r="AA28" s="3">
        <f>IF(AND(VLOOKUP(AA$1,test!$A$3:$F$32,5,FALSE) - VLOOKUP($A28,test!$A$3:$G$32,6,FALSE) &gt;= (test!$B$33)/1440),1,0)</f>
        <v>0</v>
      </c>
      <c r="AB28" s="3">
        <f>IF(AND(VLOOKUP(AB$1,test!$A$3:$F$32,5,FALSE) - VLOOKUP($A28,test!$A$3:$G$32,6,FALSE) &gt;= (test!$B$33)/1440),1,0)</f>
        <v>0</v>
      </c>
      <c r="AC28" s="3">
        <f>IF(AND(VLOOKUP(AC$1,test!$A$3:$F$32,5,FALSE) - VLOOKUP($A28,test!$A$3:$G$32,6,FALSE) &gt;= (test!$B$33)/1440),1,0)</f>
        <v>0</v>
      </c>
      <c r="AD28" s="3">
        <f>IF(AND(VLOOKUP(AD$1,test!$A$3:$F$32,5,FALSE) - VLOOKUP($A28,test!$A$3:$G$32,6,FALSE) &gt;= (test!$B$33)/1440),1,0)</f>
        <v>0</v>
      </c>
      <c r="AE28" s="3">
        <f>IF(AND(VLOOKUP(AE$1,test!$A$3:$F$32,5,FALSE) - VLOOKUP($A28,test!$A$3:$G$32,6,FALSE) &gt;= (test!$B$33)/1440),1,0)</f>
        <v>0</v>
      </c>
      <c r="AF28" s="3">
        <f>IF(AND(VLOOKUP(AF$1,test!$A$3:$F$32,5,FALSE) - VLOOKUP($A28,test!$A$3:$G$32,6,FALSE) &gt;= (test!$B$33)/1440),1,0)</f>
        <v>0</v>
      </c>
    </row>
    <row r="29" spans="1:32" x14ac:dyDescent="0.25">
      <c r="A29" t="s">
        <v>38</v>
      </c>
      <c r="B29">
        <v>0</v>
      </c>
      <c r="C29" s="3">
        <f>IF(AND(VLOOKUP(C$1,test!$A$3:$F$32,5,FALSE) - VLOOKUP($A29,test!$A$3:$G$32,6,FALSE) &gt;= (test!$B$33)/1440),1,0)</f>
        <v>0</v>
      </c>
      <c r="D29" s="3">
        <f>IF(AND(VLOOKUP(D$1,test!$A$3:$F$32,5,FALSE) - VLOOKUP($A29,test!$A$3:$G$32,6,FALSE) &gt;= (test!$B$33)/1440),1,0)</f>
        <v>0</v>
      </c>
      <c r="E29" s="3">
        <f>IF(AND(VLOOKUP(E$1,test!$A$3:$F$32,5,FALSE) - VLOOKUP($A29,test!$A$3:$G$32,6,FALSE) &gt;= (test!$B$33)/1440),1,0)</f>
        <v>0</v>
      </c>
      <c r="F29" s="3">
        <f>IF(AND(VLOOKUP(F$1,test!$A$3:$F$32,5,FALSE) - VLOOKUP($A29,test!$A$3:$G$32,6,FALSE) &gt;= (test!$B$33)/1440),1,0)</f>
        <v>0</v>
      </c>
      <c r="G29" s="3">
        <f>IF(AND(VLOOKUP(G$1,test!$A$3:$F$32,5,FALSE) - VLOOKUP($A29,test!$A$3:$G$32,6,FALSE) &gt;= (test!$B$33)/1440),1,0)</f>
        <v>0</v>
      </c>
      <c r="H29" s="3">
        <f>IF(AND(VLOOKUP(H$1,test!$A$3:$F$32,5,FALSE) - VLOOKUP($A29,test!$A$3:$G$32,6,FALSE) &gt;= (test!$B$33)/1440),1,0)</f>
        <v>0</v>
      </c>
      <c r="I29" s="3">
        <f>IF(AND(VLOOKUP(I$1,test!$A$3:$F$32,5,FALSE) - VLOOKUP($A29,test!$A$3:$G$32,6,FALSE) &gt;= (test!$B$33)/1440),1,0)</f>
        <v>0</v>
      </c>
      <c r="J29" s="3">
        <f>IF(AND(VLOOKUP(J$1,test!$A$3:$F$32,5,FALSE) - VLOOKUP($A29,test!$A$3:$G$32,6,FALSE) &gt;= (test!$B$33)/1440),1,0)</f>
        <v>0</v>
      </c>
      <c r="K29" s="3">
        <f>IF(AND(VLOOKUP(K$1,test!$A$3:$F$32,5,FALSE) - VLOOKUP($A29,test!$A$3:$G$32,6,FALSE) &gt;= (test!$B$33)/1440),1,0)</f>
        <v>0</v>
      </c>
      <c r="L29" s="3">
        <f>IF(AND(VLOOKUP(L$1,test!$A$3:$F$32,5,FALSE) - VLOOKUP($A29,test!$A$3:$G$32,6,FALSE) &gt;= (test!$B$33)/1440),1,0)</f>
        <v>0</v>
      </c>
      <c r="M29" s="3">
        <f>IF(AND(VLOOKUP(M$1,test!$A$3:$F$32,5,FALSE) - VLOOKUP($A29,test!$A$3:$G$32,6,FALSE) &gt;= (test!$B$33)/1440),1,0)</f>
        <v>0</v>
      </c>
      <c r="N29" s="3">
        <f>IF(AND(VLOOKUP(N$1,test!$A$3:$F$32,5,FALSE) - VLOOKUP($A29,test!$A$3:$G$32,6,FALSE) &gt;= (test!$B$33)/1440),1,0)</f>
        <v>0</v>
      </c>
      <c r="O29" s="3">
        <f>IF(AND(VLOOKUP(O$1,test!$A$3:$F$32,5,FALSE) - VLOOKUP($A29,test!$A$3:$G$32,6,FALSE) &gt;= (test!$B$33)/1440),1,0)</f>
        <v>0</v>
      </c>
      <c r="P29" s="3">
        <f>IF(AND(VLOOKUP(P$1,test!$A$3:$F$32,5,FALSE) - VLOOKUP($A29,test!$A$3:$G$32,6,FALSE) &gt;= (test!$B$33)/1440),1,0)</f>
        <v>0</v>
      </c>
      <c r="Q29" s="3">
        <f>IF(AND(VLOOKUP(Q$1,test!$A$3:$F$32,5,FALSE) - VLOOKUP($A29,test!$A$3:$G$32,6,FALSE) &gt;= (test!$B$33)/1440),1,0)</f>
        <v>0</v>
      </c>
      <c r="R29" s="3">
        <f>IF(AND(VLOOKUP(R$1,test!$A$3:$F$32,5,FALSE) - VLOOKUP($A29,test!$A$3:$G$32,6,FALSE) &gt;= (test!$B$33)/1440),1,0)</f>
        <v>0</v>
      </c>
      <c r="S29" s="3">
        <f>IF(AND(VLOOKUP(S$1,test!$A$3:$F$32,5,FALSE) - VLOOKUP($A29,test!$A$3:$G$32,6,FALSE) &gt;= (test!$B$33)/1440),1,0)</f>
        <v>0</v>
      </c>
      <c r="T29" s="3">
        <f>IF(AND(VLOOKUP(T$1,test!$A$3:$F$32,5,FALSE) - VLOOKUP($A29,test!$A$3:$G$32,6,FALSE) &gt;= (test!$B$33)/1440),1,0)</f>
        <v>0</v>
      </c>
      <c r="U29" s="3">
        <f>IF(AND(VLOOKUP(U$1,test!$A$3:$F$32,5,FALSE) - VLOOKUP($A29,test!$A$3:$G$32,6,FALSE) &gt;= (test!$B$33)/1440),1,0)</f>
        <v>0</v>
      </c>
      <c r="V29" s="3">
        <f>IF(AND(VLOOKUP(V$1,test!$A$3:$F$32,5,FALSE) - VLOOKUP($A29,test!$A$3:$G$32,6,FALSE) &gt;= (test!$B$33)/1440),1,0)</f>
        <v>0</v>
      </c>
      <c r="W29" s="3">
        <f>IF(AND(VLOOKUP(W$1,test!$A$3:$F$32,5,FALSE) - VLOOKUP($A29,test!$A$3:$G$32,6,FALSE) &gt;= (test!$B$33)/1440),1,0)</f>
        <v>0</v>
      </c>
      <c r="X29" s="3">
        <f>IF(AND(VLOOKUP(X$1,test!$A$3:$F$32,5,FALSE) - VLOOKUP($A29,test!$A$3:$G$32,6,FALSE) &gt;= (test!$B$33)/1440),1,0)</f>
        <v>0</v>
      </c>
      <c r="Y29" s="3">
        <f>IF(AND(VLOOKUP(Y$1,test!$A$3:$F$32,5,FALSE) - VLOOKUP($A29,test!$A$3:$G$32,6,FALSE) &gt;= (test!$B$33)/1440),1,0)</f>
        <v>0</v>
      </c>
      <c r="Z29" s="3">
        <f>IF(AND(VLOOKUP(Z$1,test!$A$3:$F$32,5,FALSE) - VLOOKUP($A29,test!$A$3:$G$32,6,FALSE) &gt;= (test!$B$33)/1440),1,0)</f>
        <v>0</v>
      </c>
      <c r="AA29" s="3">
        <f>IF(AND(VLOOKUP(AA$1,test!$A$3:$F$32,5,FALSE) - VLOOKUP($A29,test!$A$3:$G$32,6,FALSE) &gt;= (test!$B$33)/1440),1,0)</f>
        <v>0</v>
      </c>
      <c r="AB29" s="3">
        <f>IF(AND(VLOOKUP(AB$1,test!$A$3:$F$32,5,FALSE) - VLOOKUP($A29,test!$A$3:$G$32,6,FALSE) &gt;= (test!$B$33)/1440),1,0)</f>
        <v>0</v>
      </c>
      <c r="AC29" s="3">
        <f>IF(AND(VLOOKUP(AC$1,test!$A$3:$F$32,5,FALSE) - VLOOKUP($A29,test!$A$3:$G$32,6,FALSE) &gt;= (test!$B$33)/1440),1,0)</f>
        <v>0</v>
      </c>
      <c r="AD29" s="3">
        <f>IF(AND(VLOOKUP(AD$1,test!$A$3:$F$32,5,FALSE) - VLOOKUP($A29,test!$A$3:$G$32,6,FALSE) &gt;= (test!$B$33)/1440),1,0)</f>
        <v>0</v>
      </c>
      <c r="AE29" s="3">
        <f>IF(AND(VLOOKUP(AE$1,test!$A$3:$F$32,5,FALSE) - VLOOKUP($A29,test!$A$3:$G$32,6,FALSE) &gt;= (test!$B$33)/1440),1,0)</f>
        <v>0</v>
      </c>
      <c r="AF29" s="3">
        <f>IF(AND(VLOOKUP(AF$1,test!$A$3:$F$32,5,FALSE) - VLOOKUP($A29,test!$A$3:$G$32,6,FALSE) &gt;= (test!$B$33)/1440),1,0)</f>
        <v>0</v>
      </c>
    </row>
    <row r="30" spans="1:32" x14ac:dyDescent="0.25">
      <c r="A30" t="s">
        <v>39</v>
      </c>
      <c r="B30">
        <v>0</v>
      </c>
      <c r="C30" s="3">
        <f>IF(AND(VLOOKUP(C$1,test!$A$3:$F$32,5,FALSE) - VLOOKUP($A30,test!$A$3:$G$32,6,FALSE) &gt;= (test!$B$33)/1440),1,0)</f>
        <v>0</v>
      </c>
      <c r="D30" s="3">
        <f>IF(AND(VLOOKUP(D$1,test!$A$3:$F$32,5,FALSE) - VLOOKUP($A30,test!$A$3:$G$32,6,FALSE) &gt;= (test!$B$33)/1440),1,0)</f>
        <v>0</v>
      </c>
      <c r="E30" s="3">
        <f>IF(AND(VLOOKUP(E$1,test!$A$3:$F$32,5,FALSE) - VLOOKUP($A30,test!$A$3:$G$32,6,FALSE) &gt;= (test!$B$33)/1440),1,0)</f>
        <v>1</v>
      </c>
      <c r="F30" s="3">
        <f>IF(AND(VLOOKUP(F$1,test!$A$3:$F$32,5,FALSE) - VLOOKUP($A30,test!$A$3:$G$32,6,FALSE) &gt;= (test!$B$33)/1440),1,0)</f>
        <v>1</v>
      </c>
      <c r="G30" s="3">
        <f>IF(AND(VLOOKUP(G$1,test!$A$3:$F$32,5,FALSE) - VLOOKUP($A30,test!$A$3:$G$32,6,FALSE) &gt;= (test!$B$33)/1440),1,0)</f>
        <v>1</v>
      </c>
      <c r="H30" s="3">
        <f>IF(AND(VLOOKUP(H$1,test!$A$3:$F$32,5,FALSE) - VLOOKUP($A30,test!$A$3:$G$32,6,FALSE) &gt;= (test!$B$33)/1440),1,0)</f>
        <v>1</v>
      </c>
      <c r="I30" s="3">
        <f>IF(AND(VLOOKUP(I$1,test!$A$3:$F$32,5,FALSE) - VLOOKUP($A30,test!$A$3:$G$32,6,FALSE) &gt;= (test!$B$33)/1440),1,0)</f>
        <v>1</v>
      </c>
      <c r="J30" s="3">
        <f>IF(AND(VLOOKUP(J$1,test!$A$3:$F$32,5,FALSE) - VLOOKUP($A30,test!$A$3:$G$32,6,FALSE) &gt;= (test!$B$33)/1440),1,0)</f>
        <v>1</v>
      </c>
      <c r="K30" s="3">
        <f>IF(AND(VLOOKUP(K$1,test!$A$3:$F$32,5,FALSE) - VLOOKUP($A30,test!$A$3:$G$32,6,FALSE) &gt;= (test!$B$33)/1440),1,0)</f>
        <v>0</v>
      </c>
      <c r="L30" s="3">
        <f>IF(AND(VLOOKUP(L$1,test!$A$3:$F$32,5,FALSE) - VLOOKUP($A30,test!$A$3:$G$32,6,FALSE) &gt;= (test!$B$33)/1440),1,0)</f>
        <v>0</v>
      </c>
      <c r="M30" s="3">
        <f>IF(AND(VLOOKUP(M$1,test!$A$3:$F$32,5,FALSE) - VLOOKUP($A30,test!$A$3:$G$32,6,FALSE) &gt;= (test!$B$33)/1440),1,0)</f>
        <v>1</v>
      </c>
      <c r="N30" s="3">
        <f>IF(AND(VLOOKUP(N$1,test!$A$3:$F$32,5,FALSE) - VLOOKUP($A30,test!$A$3:$G$32,6,FALSE) &gt;= (test!$B$33)/1440),1,0)</f>
        <v>1</v>
      </c>
      <c r="O30" s="3">
        <f>IF(AND(VLOOKUP(O$1,test!$A$3:$F$32,5,FALSE) - VLOOKUP($A30,test!$A$3:$G$32,6,FALSE) &gt;= (test!$B$33)/1440),1,0)</f>
        <v>1</v>
      </c>
      <c r="P30" s="3">
        <f>IF(AND(VLOOKUP(P$1,test!$A$3:$F$32,5,FALSE) - VLOOKUP($A30,test!$A$3:$G$32,6,FALSE) &gt;= (test!$B$33)/1440),1,0)</f>
        <v>0</v>
      </c>
      <c r="Q30" s="3">
        <f>IF(AND(VLOOKUP(Q$1,test!$A$3:$F$32,5,FALSE) - VLOOKUP($A30,test!$A$3:$G$32,6,FALSE) &gt;= (test!$B$33)/1440),1,0)</f>
        <v>0</v>
      </c>
      <c r="R30" s="3">
        <f>IF(AND(VLOOKUP(R$1,test!$A$3:$F$32,5,FALSE) - VLOOKUP($A30,test!$A$3:$G$32,6,FALSE) &gt;= (test!$B$33)/1440),1,0)</f>
        <v>0</v>
      </c>
      <c r="S30" s="3">
        <f>IF(AND(VLOOKUP(S$1,test!$A$3:$F$32,5,FALSE) - VLOOKUP($A30,test!$A$3:$G$32,6,FALSE) &gt;= (test!$B$33)/1440),1,0)</f>
        <v>0</v>
      </c>
      <c r="T30" s="3">
        <f>IF(AND(VLOOKUP(T$1,test!$A$3:$F$32,5,FALSE) - VLOOKUP($A30,test!$A$3:$G$32,6,FALSE) &gt;= (test!$B$33)/1440),1,0)</f>
        <v>1</v>
      </c>
      <c r="U30" s="3">
        <f>IF(AND(VLOOKUP(U$1,test!$A$3:$F$32,5,FALSE) - VLOOKUP($A30,test!$A$3:$G$32,6,FALSE) &gt;= (test!$B$33)/1440),1,0)</f>
        <v>1</v>
      </c>
      <c r="V30" s="3">
        <f>IF(AND(VLOOKUP(V$1,test!$A$3:$F$32,5,FALSE) - VLOOKUP($A30,test!$A$3:$G$32,6,FALSE) &gt;= (test!$B$33)/1440),1,0)</f>
        <v>1</v>
      </c>
      <c r="W30" s="3">
        <f>IF(AND(VLOOKUP(W$1,test!$A$3:$F$32,5,FALSE) - VLOOKUP($A30,test!$A$3:$G$32,6,FALSE) &gt;= (test!$B$33)/1440),1,0)</f>
        <v>1</v>
      </c>
      <c r="X30" s="3">
        <f>IF(AND(VLOOKUP(X$1,test!$A$3:$F$32,5,FALSE) - VLOOKUP($A30,test!$A$3:$G$32,6,FALSE) &gt;= (test!$B$33)/1440),1,0)</f>
        <v>1</v>
      </c>
      <c r="Y30" s="3">
        <f>IF(AND(VLOOKUP(Y$1,test!$A$3:$F$32,5,FALSE) - VLOOKUP($A30,test!$A$3:$G$32,6,FALSE) &gt;= (test!$B$33)/1440),1,0)</f>
        <v>0</v>
      </c>
      <c r="Z30" s="3">
        <f>IF(AND(VLOOKUP(Z$1,test!$A$3:$F$32,5,FALSE) - VLOOKUP($A30,test!$A$3:$G$32,6,FALSE) &gt;= (test!$B$33)/1440),1,0)</f>
        <v>0</v>
      </c>
      <c r="AA30" s="3">
        <f>IF(AND(VLOOKUP(AA$1,test!$A$3:$F$32,5,FALSE) - VLOOKUP($A30,test!$A$3:$G$32,6,FALSE) &gt;= (test!$B$33)/1440),1,0)</f>
        <v>1</v>
      </c>
      <c r="AB30" s="3">
        <f>IF(AND(VLOOKUP(AB$1,test!$A$3:$F$32,5,FALSE) - VLOOKUP($A30,test!$A$3:$G$32,6,FALSE) &gt;= (test!$B$33)/1440),1,0)</f>
        <v>1</v>
      </c>
      <c r="AC30" s="3">
        <f>IF(AND(VLOOKUP(AC$1,test!$A$3:$F$32,5,FALSE) - VLOOKUP($A30,test!$A$3:$G$32,6,FALSE) &gt;= (test!$B$33)/1440),1,0)</f>
        <v>1</v>
      </c>
      <c r="AD30" s="3">
        <f>IF(AND(VLOOKUP(AD$1,test!$A$3:$F$32,5,FALSE) - VLOOKUP($A30,test!$A$3:$G$32,6,FALSE) &gt;= (test!$B$33)/1440),1,0)</f>
        <v>0</v>
      </c>
      <c r="AE30" s="3">
        <f>IF(AND(VLOOKUP(AE$1,test!$A$3:$F$32,5,FALSE) - VLOOKUP($A30,test!$A$3:$G$32,6,FALSE) &gt;= (test!$B$33)/1440),1,0)</f>
        <v>1</v>
      </c>
      <c r="AF30" s="3">
        <f>IF(AND(VLOOKUP(AF$1,test!$A$3:$F$32,5,FALSE) - VLOOKUP($A30,test!$A$3:$G$32,6,FALSE) &gt;= (test!$B$33)/1440),1,0)</f>
        <v>1</v>
      </c>
    </row>
    <row r="31" spans="1:32" x14ac:dyDescent="0.25">
      <c r="A31" t="s">
        <v>40</v>
      </c>
      <c r="B31">
        <v>0</v>
      </c>
      <c r="C31" s="3">
        <f>IF(AND(VLOOKUP(C$1,test!$A$3:$F$32,5,FALSE) - VLOOKUP($A31,test!$A$3:$G$32,6,FALSE) &gt;= (test!$B$33)/1440),1,0)</f>
        <v>0</v>
      </c>
      <c r="D31" s="3">
        <f>IF(AND(VLOOKUP(D$1,test!$A$3:$F$32,5,FALSE) - VLOOKUP($A31,test!$A$3:$G$32,6,FALSE) &gt;= (test!$B$33)/1440),1,0)</f>
        <v>0</v>
      </c>
      <c r="E31" s="3">
        <f>IF(AND(VLOOKUP(E$1,test!$A$3:$F$32,5,FALSE) - VLOOKUP($A31,test!$A$3:$G$32,6,FALSE) &gt;= (test!$B$33)/1440),1,0)</f>
        <v>0</v>
      </c>
      <c r="F31" s="3">
        <f>IF(AND(VLOOKUP(F$1,test!$A$3:$F$32,5,FALSE) - VLOOKUP($A31,test!$A$3:$G$32,6,FALSE) &gt;= (test!$B$33)/1440),1,0)</f>
        <v>0</v>
      </c>
      <c r="G31" s="3">
        <f>IF(AND(VLOOKUP(G$1,test!$A$3:$F$32,5,FALSE) - VLOOKUP($A31,test!$A$3:$G$32,6,FALSE) &gt;= (test!$B$33)/1440),1,0)</f>
        <v>0</v>
      </c>
      <c r="H31" s="3">
        <f>IF(AND(VLOOKUP(H$1,test!$A$3:$F$32,5,FALSE) - VLOOKUP($A31,test!$A$3:$G$32,6,FALSE) &gt;= (test!$B$33)/1440),1,0)</f>
        <v>0</v>
      </c>
      <c r="I31" s="3">
        <f>IF(AND(VLOOKUP(I$1,test!$A$3:$F$32,5,FALSE) - VLOOKUP($A31,test!$A$3:$G$32,6,FALSE) &gt;= (test!$B$33)/1440),1,0)</f>
        <v>0</v>
      </c>
      <c r="J31" s="3">
        <f>IF(AND(VLOOKUP(J$1,test!$A$3:$F$32,5,FALSE) - VLOOKUP($A31,test!$A$3:$G$32,6,FALSE) &gt;= (test!$B$33)/1440),1,0)</f>
        <v>1</v>
      </c>
      <c r="K31" s="3">
        <f>IF(AND(VLOOKUP(K$1,test!$A$3:$F$32,5,FALSE) - VLOOKUP($A31,test!$A$3:$G$32,6,FALSE) &gt;= (test!$B$33)/1440),1,0)</f>
        <v>0</v>
      </c>
      <c r="L31" s="3">
        <f>IF(AND(VLOOKUP(L$1,test!$A$3:$F$32,5,FALSE) - VLOOKUP($A31,test!$A$3:$G$32,6,FALSE) &gt;= (test!$B$33)/1440),1,0)</f>
        <v>0</v>
      </c>
      <c r="M31" s="3">
        <f>IF(AND(VLOOKUP(M$1,test!$A$3:$F$32,5,FALSE) - VLOOKUP($A31,test!$A$3:$G$32,6,FALSE) &gt;= (test!$B$33)/1440),1,0)</f>
        <v>0</v>
      </c>
      <c r="N31" s="3">
        <f>IF(AND(VLOOKUP(N$1,test!$A$3:$F$32,5,FALSE) - VLOOKUP($A31,test!$A$3:$G$32,6,FALSE) &gt;= (test!$B$33)/1440),1,0)</f>
        <v>1</v>
      </c>
      <c r="O31" s="3">
        <f>IF(AND(VLOOKUP(O$1,test!$A$3:$F$32,5,FALSE) - VLOOKUP($A31,test!$A$3:$G$32,6,FALSE) &gt;= (test!$B$33)/1440),1,0)</f>
        <v>1</v>
      </c>
      <c r="P31" s="3">
        <f>IF(AND(VLOOKUP(P$1,test!$A$3:$F$32,5,FALSE) - VLOOKUP($A31,test!$A$3:$G$32,6,FALSE) &gt;= (test!$B$33)/1440),1,0)</f>
        <v>0</v>
      </c>
      <c r="Q31" s="3">
        <f>IF(AND(VLOOKUP(Q$1,test!$A$3:$F$32,5,FALSE) - VLOOKUP($A31,test!$A$3:$G$32,6,FALSE) &gt;= (test!$B$33)/1440),1,0)</f>
        <v>0</v>
      </c>
      <c r="R31" s="3">
        <f>IF(AND(VLOOKUP(R$1,test!$A$3:$F$32,5,FALSE) - VLOOKUP($A31,test!$A$3:$G$32,6,FALSE) &gt;= (test!$B$33)/1440),1,0)</f>
        <v>0</v>
      </c>
      <c r="S31" s="3">
        <f>IF(AND(VLOOKUP(S$1,test!$A$3:$F$32,5,FALSE) - VLOOKUP($A31,test!$A$3:$G$32,6,FALSE) &gt;= (test!$B$33)/1440),1,0)</f>
        <v>0</v>
      </c>
      <c r="T31" s="3">
        <f>IF(AND(VLOOKUP(T$1,test!$A$3:$F$32,5,FALSE) - VLOOKUP($A31,test!$A$3:$G$32,6,FALSE) &gt;= (test!$B$33)/1440),1,0)</f>
        <v>0</v>
      </c>
      <c r="U31" s="3">
        <f>IF(AND(VLOOKUP(U$1,test!$A$3:$F$32,5,FALSE) - VLOOKUP($A31,test!$A$3:$G$32,6,FALSE) &gt;= (test!$B$33)/1440),1,0)</f>
        <v>0</v>
      </c>
      <c r="V31" s="3">
        <f>IF(AND(VLOOKUP(V$1,test!$A$3:$F$32,5,FALSE) - VLOOKUP($A31,test!$A$3:$G$32,6,FALSE) &gt;= (test!$B$33)/1440),1,0)</f>
        <v>0</v>
      </c>
      <c r="W31" s="3">
        <f>IF(AND(VLOOKUP(W$1,test!$A$3:$F$32,5,FALSE) - VLOOKUP($A31,test!$A$3:$G$32,6,FALSE) &gt;= (test!$B$33)/1440),1,0)</f>
        <v>0</v>
      </c>
      <c r="X31" s="3">
        <f>IF(AND(VLOOKUP(X$1,test!$A$3:$F$32,5,FALSE) - VLOOKUP($A31,test!$A$3:$G$32,6,FALSE) &gt;= (test!$B$33)/1440),1,0)</f>
        <v>1</v>
      </c>
      <c r="Y31" s="3">
        <f>IF(AND(VLOOKUP(Y$1,test!$A$3:$F$32,5,FALSE) - VLOOKUP($A31,test!$A$3:$G$32,6,FALSE) &gt;= (test!$B$33)/1440),1,0)</f>
        <v>0</v>
      </c>
      <c r="Z31" s="3">
        <f>IF(AND(VLOOKUP(Z$1,test!$A$3:$F$32,5,FALSE) - VLOOKUP($A31,test!$A$3:$G$32,6,FALSE) &gt;= (test!$B$33)/1440),1,0)</f>
        <v>0</v>
      </c>
      <c r="AA31" s="3">
        <f>IF(AND(VLOOKUP(AA$1,test!$A$3:$F$32,5,FALSE) - VLOOKUP($A31,test!$A$3:$G$32,6,FALSE) &gt;= (test!$B$33)/1440),1,0)</f>
        <v>0</v>
      </c>
      <c r="AB31" s="3">
        <f>IF(AND(VLOOKUP(AB$1,test!$A$3:$F$32,5,FALSE) - VLOOKUP($A31,test!$A$3:$G$32,6,FALSE) &gt;= (test!$B$33)/1440),1,0)</f>
        <v>0</v>
      </c>
      <c r="AC31" s="3">
        <f>IF(AND(VLOOKUP(AC$1,test!$A$3:$F$32,5,FALSE) - VLOOKUP($A31,test!$A$3:$G$32,6,FALSE) &gt;= (test!$B$33)/1440),1,0)</f>
        <v>0</v>
      </c>
      <c r="AD31" s="3">
        <f>IF(AND(VLOOKUP(AD$1,test!$A$3:$F$32,5,FALSE) - VLOOKUP($A31,test!$A$3:$G$32,6,FALSE) &gt;= (test!$B$33)/1440),1,0)</f>
        <v>0</v>
      </c>
      <c r="AE31" s="3">
        <f>IF(AND(VLOOKUP(AE$1,test!$A$3:$F$32,5,FALSE) - VLOOKUP($A31,test!$A$3:$G$32,6,FALSE) &gt;= (test!$B$33)/1440),1,0)</f>
        <v>0</v>
      </c>
      <c r="AF31" s="3">
        <f>IF(AND(VLOOKUP(AF$1,test!$A$3:$F$32,5,FALSE) - VLOOKUP($A31,test!$A$3:$G$32,6,FALSE) &gt;= (test!$B$33)/1440),1,0)</f>
        <v>0</v>
      </c>
    </row>
    <row r="32" spans="1:32" x14ac:dyDescent="0.25">
      <c r="A32" t="s">
        <v>41</v>
      </c>
      <c r="B32">
        <v>0</v>
      </c>
      <c r="C32" s="3">
        <f>IF(AND(VLOOKUP(C$1,test!$A$3:$F$32,5,FALSE) - VLOOKUP($A32,test!$A$3:$G$32,6,FALSE) &gt;= (test!$B$33)/1440),1,0)</f>
        <v>0</v>
      </c>
      <c r="D32" s="3">
        <f>IF(AND(VLOOKUP(D$1,test!$A$3:$F$32,5,FALSE) - VLOOKUP($A32,test!$A$3:$G$32,6,FALSE) &gt;= (test!$B$33)/1440),1,0)</f>
        <v>0</v>
      </c>
      <c r="E32" s="3">
        <f>IF(AND(VLOOKUP(E$1,test!$A$3:$F$32,5,FALSE) - VLOOKUP($A32,test!$A$3:$G$32,6,FALSE) &gt;= (test!$B$33)/1440),1,0)</f>
        <v>0</v>
      </c>
      <c r="F32" s="3">
        <f>IF(AND(VLOOKUP(F$1,test!$A$3:$F$32,5,FALSE) - VLOOKUP($A32,test!$A$3:$G$32,6,FALSE) &gt;= (test!$B$33)/1440),1,0)</f>
        <v>0</v>
      </c>
      <c r="G32" s="3">
        <f>IF(AND(VLOOKUP(G$1,test!$A$3:$F$32,5,FALSE) - VLOOKUP($A32,test!$A$3:$G$32,6,FALSE) &gt;= (test!$B$33)/1440),1,0)</f>
        <v>0</v>
      </c>
      <c r="H32" s="3">
        <f>IF(AND(VLOOKUP(H$1,test!$A$3:$F$32,5,FALSE) - VLOOKUP($A32,test!$A$3:$G$32,6,FALSE) &gt;= (test!$B$33)/1440),1,0)</f>
        <v>0</v>
      </c>
      <c r="I32" s="3">
        <f>IF(AND(VLOOKUP(I$1,test!$A$3:$F$32,5,FALSE) - VLOOKUP($A32,test!$A$3:$G$32,6,FALSE) &gt;= (test!$B$33)/1440),1,0)</f>
        <v>0</v>
      </c>
      <c r="J32" s="3">
        <f>IF(AND(VLOOKUP(J$1,test!$A$3:$F$32,5,FALSE) - VLOOKUP($A32,test!$A$3:$G$32,6,FALSE) &gt;= (test!$B$33)/1440),1,0)</f>
        <v>1</v>
      </c>
      <c r="K32" s="3">
        <f>IF(AND(VLOOKUP(K$1,test!$A$3:$F$32,5,FALSE) - VLOOKUP($A32,test!$A$3:$G$32,6,FALSE) &gt;= (test!$B$33)/1440),1,0)</f>
        <v>0</v>
      </c>
      <c r="L32" s="3">
        <f>IF(AND(VLOOKUP(L$1,test!$A$3:$F$32,5,FALSE) - VLOOKUP($A32,test!$A$3:$G$32,6,FALSE) &gt;= (test!$B$33)/1440),1,0)</f>
        <v>0</v>
      </c>
      <c r="M32" s="3">
        <f>IF(AND(VLOOKUP(M$1,test!$A$3:$F$32,5,FALSE) - VLOOKUP($A32,test!$A$3:$G$32,6,FALSE) &gt;= (test!$B$33)/1440),1,0)</f>
        <v>0</v>
      </c>
      <c r="N32" s="3">
        <f>IF(AND(VLOOKUP(N$1,test!$A$3:$F$32,5,FALSE) - VLOOKUP($A32,test!$A$3:$G$32,6,FALSE) &gt;= (test!$B$33)/1440),1,0)</f>
        <v>1</v>
      </c>
      <c r="O32" s="3">
        <f>IF(AND(VLOOKUP(O$1,test!$A$3:$F$32,5,FALSE) - VLOOKUP($A32,test!$A$3:$G$32,6,FALSE) &gt;= (test!$B$33)/1440),1,0)</f>
        <v>1</v>
      </c>
      <c r="P32" s="3">
        <f>IF(AND(VLOOKUP(P$1,test!$A$3:$F$32,5,FALSE) - VLOOKUP($A32,test!$A$3:$G$32,6,FALSE) &gt;= (test!$B$33)/1440),1,0)</f>
        <v>0</v>
      </c>
      <c r="Q32" s="3">
        <f>IF(AND(VLOOKUP(Q$1,test!$A$3:$F$32,5,FALSE) - VLOOKUP($A32,test!$A$3:$G$32,6,FALSE) &gt;= (test!$B$33)/1440),1,0)</f>
        <v>0</v>
      </c>
      <c r="R32" s="3">
        <f>IF(AND(VLOOKUP(R$1,test!$A$3:$F$32,5,FALSE) - VLOOKUP($A32,test!$A$3:$G$32,6,FALSE) &gt;= (test!$B$33)/1440),1,0)</f>
        <v>0</v>
      </c>
      <c r="S32" s="3">
        <f>IF(AND(VLOOKUP(S$1,test!$A$3:$F$32,5,FALSE) - VLOOKUP($A32,test!$A$3:$G$32,6,FALSE) &gt;= (test!$B$33)/1440),1,0)</f>
        <v>0</v>
      </c>
      <c r="T32" s="3">
        <f>IF(AND(VLOOKUP(T$1,test!$A$3:$F$32,5,FALSE) - VLOOKUP($A32,test!$A$3:$G$32,6,FALSE) &gt;= (test!$B$33)/1440),1,0)</f>
        <v>0</v>
      </c>
      <c r="U32" s="3">
        <f>IF(AND(VLOOKUP(U$1,test!$A$3:$F$32,5,FALSE) - VLOOKUP($A32,test!$A$3:$G$32,6,FALSE) &gt;= (test!$B$33)/1440),1,0)</f>
        <v>0</v>
      </c>
      <c r="V32" s="3">
        <f>IF(AND(VLOOKUP(V$1,test!$A$3:$F$32,5,FALSE) - VLOOKUP($A32,test!$A$3:$G$32,6,FALSE) &gt;= (test!$B$33)/1440),1,0)</f>
        <v>0</v>
      </c>
      <c r="W32" s="3">
        <f>IF(AND(VLOOKUP(W$1,test!$A$3:$F$32,5,FALSE) - VLOOKUP($A32,test!$A$3:$G$32,6,FALSE) &gt;= (test!$B$33)/1440),1,0)</f>
        <v>0</v>
      </c>
      <c r="X32" s="3">
        <f>IF(AND(VLOOKUP(X$1,test!$A$3:$F$32,5,FALSE) - VLOOKUP($A32,test!$A$3:$G$32,6,FALSE) &gt;= (test!$B$33)/1440),1,0)</f>
        <v>0</v>
      </c>
      <c r="Y32" s="3">
        <f>IF(AND(VLOOKUP(Y$1,test!$A$3:$F$32,5,FALSE) - VLOOKUP($A32,test!$A$3:$G$32,6,FALSE) &gt;= (test!$B$33)/1440),1,0)</f>
        <v>0</v>
      </c>
      <c r="Z32" s="3">
        <f>IF(AND(VLOOKUP(Z$1,test!$A$3:$F$32,5,FALSE) - VLOOKUP($A32,test!$A$3:$G$32,6,FALSE) &gt;= (test!$B$33)/1440),1,0)</f>
        <v>0</v>
      </c>
      <c r="AA32" s="3">
        <f>IF(AND(VLOOKUP(AA$1,test!$A$3:$F$32,5,FALSE) - VLOOKUP($A32,test!$A$3:$G$32,6,FALSE) &gt;= (test!$B$33)/1440),1,0)</f>
        <v>0</v>
      </c>
      <c r="AB32" s="3">
        <f>IF(AND(VLOOKUP(AB$1,test!$A$3:$F$32,5,FALSE) - VLOOKUP($A32,test!$A$3:$G$32,6,FALSE) &gt;= (test!$B$33)/1440),1,0)</f>
        <v>0</v>
      </c>
      <c r="AC32" s="3">
        <f>IF(AND(VLOOKUP(AC$1,test!$A$3:$F$32,5,FALSE) - VLOOKUP($A32,test!$A$3:$G$32,6,FALSE) &gt;= (test!$B$33)/1440),1,0)</f>
        <v>0</v>
      </c>
      <c r="AD32" s="3">
        <f>IF(AND(VLOOKUP(AD$1,test!$A$3:$F$32,5,FALSE) - VLOOKUP($A32,test!$A$3:$G$32,6,FALSE) &gt;= (test!$B$33)/1440),1,0)</f>
        <v>0</v>
      </c>
      <c r="AE32" s="3">
        <f>IF(AND(VLOOKUP(AE$1,test!$A$3:$F$32,5,FALSE) - VLOOKUP($A32,test!$A$3:$G$32,6,FALSE) &gt;= (test!$B$33)/1440),1,0)</f>
        <v>0</v>
      </c>
      <c r="AF32" s="3">
        <f>IF(AND(VLOOKUP(AF$1,test!$A$3:$F$32,5,FALSE) - VLOOKUP($A32,test!$A$3:$G$32,6,FALSE) &gt;= (test!$B$33)/1440),1,0)</f>
        <v>0</v>
      </c>
    </row>
  </sheetData>
  <conditionalFormatting sqref="C3:AF32">
    <cfRule type="cellIs" dxfId="0" priority="1" operator="equal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test</vt:lpstr>
      <vt:lpstr>Result</vt:lpstr>
      <vt:lpstr>10Trips</vt:lpstr>
      <vt:lpstr>feasible_mat</vt:lpstr>
      <vt:lpstr>duration_mat</vt:lpstr>
      <vt:lpstr>Recharged_Feasible_mat</vt:lpstr>
      <vt:lpstr>Recharged_Feasible_mat1cs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Corry</dc:creator>
  <cp:lastModifiedBy>Dicky Sentosa Gozali</cp:lastModifiedBy>
  <dcterms:created xsi:type="dcterms:W3CDTF">2024-02-13T00:51:05Z</dcterms:created>
  <dcterms:modified xsi:type="dcterms:W3CDTF">2024-09-19T12:31:49Z</dcterms:modified>
</cp:coreProperties>
</file>